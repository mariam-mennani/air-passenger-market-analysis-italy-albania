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mmennani/Desktop/"/>
    </mc:Choice>
  </mc:AlternateContent>
  <xr:revisionPtr revIDLastSave="0" documentId="13_ncr:1_{76E11D54-EEC4-654E-B9C5-046F0936C833}" xr6:coauthVersionLast="47" xr6:coauthVersionMax="47" xr10:uidLastSave="{00000000-0000-0000-0000-000000000000}"/>
  <bookViews>
    <workbookView xWindow="0" yWindow="500" windowWidth="25600" windowHeight="14240" xr2:uid="{00000000-000D-0000-FFFF-FFFF00000000}"/>
  </bookViews>
  <sheets>
    <sheet name="Summary" sheetId="12" r:id="rId1"/>
    <sheet name="Traffic_Data" sheetId="4" r:id="rId2"/>
    <sheet name="Analysis" sheetId="10" r:id="rId3"/>
    <sheet name="Seasonality" sheetId="11" r:id="rId4"/>
  </sheets>
  <definedNames>
    <definedName name="DatiEsterni_1" localSheetId="1" hidden="1">Traffic_Data!$A$1:$B$133</definedName>
  </definedNames>
  <calcPr calcId="191029"/>
  <pivotCaches>
    <pivotCache cacheId="15" r:id="rId5"/>
    <pivotCache cacheId="1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2" l="1"/>
  <c r="B6" i="12"/>
  <c r="B5" i="12"/>
  <c r="B4" i="12"/>
  <c r="B3" i="12"/>
  <c r="B23" i="10"/>
  <c r="O24" i="10"/>
  <c r="O25" i="10"/>
  <c r="O26" i="10"/>
  <c r="O27" i="10"/>
  <c r="O28" i="10"/>
  <c r="O29" i="10"/>
  <c r="O30" i="10"/>
  <c r="O31" i="10"/>
  <c r="N31" i="10"/>
  <c r="N24" i="10"/>
  <c r="N25" i="10"/>
  <c r="N26" i="10"/>
  <c r="N27" i="10"/>
  <c r="N28" i="10"/>
  <c r="N29" i="10"/>
  <c r="N30" i="10"/>
  <c r="O23" i="10"/>
  <c r="N23" i="10"/>
  <c r="D15" i="10"/>
  <c r="D14" i="10"/>
  <c r="B35" i="10"/>
  <c r="C6" i="10"/>
  <c r="C7" i="10"/>
  <c r="C8" i="10"/>
  <c r="C9" i="10"/>
  <c r="C10" i="10"/>
  <c r="C11" i="10"/>
  <c r="C12" i="10"/>
  <c r="C13" i="10"/>
  <c r="C5" i="10"/>
  <c r="B12" i="11"/>
  <c r="E3" i="4"/>
  <c r="E2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B25" i="10"/>
  <c r="B24" i="10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2" i="4"/>
  <c r="B26" i="10" l="1"/>
  <c r="L5" i="4"/>
  <c r="L6" i="4"/>
  <c r="L7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5D07D8-93BC-BE40-8A1B-30EE8CD91007}" keepAlive="1" name="Query - Sheet 1" description="Connessione alla query 'Sheet 1' nella cartella di lavoro." type="5" refreshedVersion="8" background="1" saveData="1">
    <dbPr connection="Provider=Microsoft.Mashup.OleDb.1;Data Source=$Workbook$;Location=&quot;Sheet 1&quot;;Extended Properties=&quot;&quot;" command="SELECT * FROM [Sheet 1]"/>
  </connection>
</connections>
</file>

<file path=xl/sharedStrings.xml><?xml version="1.0" encoding="utf-8"?>
<sst xmlns="http://schemas.openxmlformats.org/spreadsheetml/2006/main" count="48" uniqueCount="38">
  <si>
    <t>Date</t>
  </si>
  <si>
    <t>Passengers</t>
  </si>
  <si>
    <t>Month</t>
  </si>
  <si>
    <t xml:space="preserve">Year </t>
  </si>
  <si>
    <t>Traffic CAGR TOT</t>
  </si>
  <si>
    <t>CAGR Pre-COVID</t>
  </si>
  <si>
    <t>CAGR Post-COVID</t>
  </si>
  <si>
    <t>Metric</t>
  </si>
  <si>
    <t>Value</t>
  </si>
  <si>
    <t>Year</t>
  </si>
  <si>
    <t>Sum of Passengers</t>
  </si>
  <si>
    <t>Peak Month Ratio</t>
  </si>
  <si>
    <t>Max Monthly Traffic</t>
  </si>
  <si>
    <t>Average Monthly Traffic</t>
  </si>
  <si>
    <t xml:space="preserve">Traffic CAGR Analysis </t>
  </si>
  <si>
    <t>Peak Month Analysis (2024)</t>
  </si>
  <si>
    <t xml:space="preserve">Season </t>
  </si>
  <si>
    <t>Etichette di riga</t>
  </si>
  <si>
    <t>Summer</t>
  </si>
  <si>
    <t>Winter</t>
  </si>
  <si>
    <t>Totale complessivo</t>
  </si>
  <si>
    <t>Summer vs Winter</t>
  </si>
  <si>
    <t>YoY Growth</t>
  </si>
  <si>
    <t>YoY Volatility</t>
  </si>
  <si>
    <t xml:space="preserve">Covid Recovery Analysis </t>
  </si>
  <si>
    <t>Pre-Covid Peak 2019</t>
  </si>
  <si>
    <t>Recovery Year</t>
  </si>
  <si>
    <t>Recovery Time (years)</t>
  </si>
  <si>
    <t>Traffic vs 2019 (2024, x times)</t>
  </si>
  <si>
    <t>Forecast</t>
  </si>
  <si>
    <t xml:space="preserve">YoY Growth </t>
  </si>
  <si>
    <t>Total CAGR</t>
  </si>
  <si>
    <t>Pre-Covid CAGR</t>
  </si>
  <si>
    <t>Volatility</t>
  </si>
  <si>
    <t>Post-Covid CAGR</t>
  </si>
  <si>
    <t>Summer vs Winter Demand</t>
  </si>
  <si>
    <t xml:space="preserve">Peak month Ratio is ~20% above average demand </t>
  </si>
  <si>
    <t xml:space="preserve">Air Passenger Market Analysis (Italy - Albania Route)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</si>
</sst>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  <font>
      <b/>
      <sz val="11"/>
      <color rgb="FF000000"/>
      <name val="Aptos Narrow"/>
      <scheme val="minor"/>
    </font>
    <font>
      <b/>
      <sz val="14"/>
      <color rgb="FF000000"/>
      <name val="Aptos Narrow (Corpo)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64" fontId="0" fillId="0" borderId="0" xfId="1" applyNumberFormat="1" applyFont="1"/>
    <xf numFmtId="0" fontId="0" fillId="2" borderId="0" xfId="0" applyFill="1" applyAlignment="1">
      <alignment horizontal="left"/>
    </xf>
    <xf numFmtId="0" fontId="2" fillId="0" borderId="0" xfId="0" applyFont="1"/>
    <xf numFmtId="1" fontId="0" fillId="0" borderId="0" xfId="0" applyNumberFormat="1"/>
    <xf numFmtId="0" fontId="0" fillId="2" borderId="0" xfId="0" applyFill="1"/>
    <xf numFmtId="0" fontId="3" fillId="0" borderId="0" xfId="0" applyFont="1"/>
    <xf numFmtId="9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/>
    <xf numFmtId="9" fontId="0" fillId="0" borderId="1" xfId="1" applyFont="1" applyBorder="1"/>
    <xf numFmtId="164" fontId="0" fillId="0" borderId="1" xfId="1" applyNumberFormat="1" applyFont="1" applyBorder="1"/>
    <xf numFmtId="9" fontId="0" fillId="0" borderId="1" xfId="0" applyNumberFormat="1" applyBorder="1"/>
    <xf numFmtId="165" fontId="0" fillId="0" borderId="1" xfId="0" applyNumberFormat="1" applyBorder="1"/>
    <xf numFmtId="0" fontId="2" fillId="0" borderId="0" xfId="0" applyFont="1" applyFill="1" applyBorder="1"/>
    <xf numFmtId="1" fontId="0" fillId="0" borderId="1" xfId="0" applyNumberForma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Normale" xfId="0" builtinId="0"/>
    <cellStyle name="Percentuale" xfId="1" builtinId="5"/>
  </cellStyles>
  <dxfs count="3">
    <dxf>
      <fill>
        <patternFill patternType="solid">
          <bgColor rgb="FFFF0000"/>
        </patternFill>
      </fill>
    </dxf>
    <dxf>
      <numFmt numFmtId="0" formatCode="General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Passenger Traffic Trend &amp;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Passengers</c:v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Analysis!$A$4:$A$15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Analysis!$B$4:$B$15</c:f>
              <c:numCache>
                <c:formatCode>General</c:formatCode>
                <c:ptCount val="12"/>
                <c:pt idx="0">
                  <c:v>1150166</c:v>
                </c:pt>
                <c:pt idx="1">
                  <c:v>1264355</c:v>
                </c:pt>
                <c:pt idx="2">
                  <c:v>1493846</c:v>
                </c:pt>
                <c:pt idx="3">
                  <c:v>1572362</c:v>
                </c:pt>
                <c:pt idx="4">
                  <c:v>1688299</c:v>
                </c:pt>
                <c:pt idx="5">
                  <c:v>583539</c:v>
                </c:pt>
                <c:pt idx="6">
                  <c:v>1184797</c:v>
                </c:pt>
                <c:pt idx="7">
                  <c:v>2148370</c:v>
                </c:pt>
                <c:pt idx="8">
                  <c:v>3167211</c:v>
                </c:pt>
                <c:pt idx="9">
                  <c:v>4537028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06-8A44-A39E-CBE5F4031F90}"/>
            </c:ext>
          </c:extLst>
        </c:ser>
        <c:ser>
          <c:idx val="1"/>
          <c:order val="1"/>
          <c:tx>
            <c:v>Forecast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Analysis!$A$4:$A$15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Analysis!$D$4:$D$15</c:f>
              <c:numCache>
                <c:formatCode>General</c:formatCode>
                <c:ptCount val="12"/>
                <c:pt idx="9">
                  <c:v>4537028</c:v>
                </c:pt>
                <c:pt idx="10" formatCode="0">
                  <c:v>5217582.1999999993</c:v>
                </c:pt>
                <c:pt idx="11" formatCode="0">
                  <c:v>5739340.4199999999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06-8A44-A39E-CBE5F4031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900607"/>
        <c:axId val="1123907631"/>
      </c:lineChart>
      <c:catAx>
        <c:axId val="112390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3907631"/>
        <c:crosses val="autoZero"/>
        <c:auto val="1"/>
        <c:lblAlgn val="ctr"/>
        <c:lblOffset val="100"/>
        <c:noMultiLvlLbl val="0"/>
      </c:catAx>
      <c:valAx>
        <c:axId val="1123907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390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Passenger Traffic Trend &amp; Forecast (2015-2026F)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Passengers</c:v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Analysis!$A$4:$A$15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Analysis!$B$4:$B$15</c:f>
              <c:numCache>
                <c:formatCode>General</c:formatCode>
                <c:ptCount val="12"/>
                <c:pt idx="0">
                  <c:v>1150166</c:v>
                </c:pt>
                <c:pt idx="1">
                  <c:v>1264355</c:v>
                </c:pt>
                <c:pt idx="2">
                  <c:v>1493846</c:v>
                </c:pt>
                <c:pt idx="3">
                  <c:v>1572362</c:v>
                </c:pt>
                <c:pt idx="4">
                  <c:v>1688299</c:v>
                </c:pt>
                <c:pt idx="5">
                  <c:v>583539</c:v>
                </c:pt>
                <c:pt idx="6">
                  <c:v>1184797</c:v>
                </c:pt>
                <c:pt idx="7">
                  <c:v>2148370</c:v>
                </c:pt>
                <c:pt idx="8">
                  <c:v>3167211</c:v>
                </c:pt>
                <c:pt idx="9">
                  <c:v>4537028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39-2948-AB96-1D6FA34A9850}"/>
            </c:ext>
          </c:extLst>
        </c:ser>
        <c:ser>
          <c:idx val="1"/>
          <c:order val="1"/>
          <c:tx>
            <c:v>Forecast</c:v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7.2005488406525528E-2"/>
                  <c:y val="-0.1419311748593272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Projected</a:t>
                    </a:r>
                    <a:r>
                      <a:rPr lang="en-US" baseline="0"/>
                      <a:t> Growth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839-2948-AB96-1D6FA34A985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39-2948-AB96-1D6FA34A985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39-2948-AB96-1D6FA34A98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Analysis!$A$4:$A$15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cat>
          <c:val>
            <c:numRef>
              <c:f>Analysis!$D$4:$D$15</c:f>
              <c:numCache>
                <c:formatCode>General</c:formatCode>
                <c:ptCount val="12"/>
                <c:pt idx="9">
                  <c:v>4537028</c:v>
                </c:pt>
                <c:pt idx="10" formatCode="0">
                  <c:v>5217582.1999999993</c:v>
                </c:pt>
                <c:pt idx="11" formatCode="0">
                  <c:v>5739340.4199999999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839-2948-AB96-1D6FA34A9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3900607"/>
        <c:axId val="1123907631"/>
      </c:lineChart>
      <c:catAx>
        <c:axId val="112390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3907631"/>
        <c:crosses val="autoZero"/>
        <c:auto val="1"/>
        <c:lblAlgn val="ctr"/>
        <c:lblOffset val="100"/>
        <c:noMultiLvlLbl val="0"/>
      </c:catAx>
      <c:valAx>
        <c:axId val="1123907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3900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Passenger Traffic YoY</a:t>
            </a:r>
            <a:r>
              <a:rPr lang="en-US" sz="1200" baseline="0"/>
              <a:t> - COVID Shock &amp; Recovery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YoY Growth</c:v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circle"/>
              <c:size val="7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66D-314B-9A8B-85D81FBBAA65}"/>
              </c:ext>
            </c:extLst>
          </c:dPt>
          <c:dPt>
            <c:idx val="5"/>
            <c:marker>
              <c:symbol val="circle"/>
              <c:size val="7"/>
              <c:spPr>
                <a:solidFill>
                  <a:srgbClr val="00B050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66D-314B-9A8B-85D81FBBAA65}"/>
              </c:ext>
            </c:extLst>
          </c:dPt>
          <c:dLbls>
            <c:dLbl>
              <c:idx val="4"/>
              <c:layout>
                <c:manualLayout>
                  <c:x val="-0.15362941901890934"/>
                  <c:y val="4.5801607368079228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COVID</a:t>
                    </a:r>
                    <a:r>
                      <a:rPr lang="en-US" baseline="0"/>
                      <a:t> Shock (-65%) </a:t>
                    </a:r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110768156020093"/>
                      <c:h val="0.11970391005569617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5-866D-314B-9A8B-85D81FBBAA65}"/>
                </c:ext>
              </c:extLst>
            </c:dLbl>
            <c:dLbl>
              <c:idx val="5"/>
              <c:layout>
                <c:manualLayout>
                  <c:x val="-0.11689934369093052"/>
                  <c:y val="-5.471640009408242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Recovery (+103%)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66D-314B-9A8B-85D81FBBAA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Analysis!$N$23:$N$31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Analysis!$O$23:$O$31</c:f>
              <c:numCache>
                <c:formatCode>0%</c:formatCode>
                <c:ptCount val="9"/>
                <c:pt idx="0">
                  <c:v>9.9280451691321048E-2</c:v>
                </c:pt>
                <c:pt idx="1">
                  <c:v>0.18150835801653797</c:v>
                </c:pt>
                <c:pt idx="2">
                  <c:v>5.2559634661136334E-2</c:v>
                </c:pt>
                <c:pt idx="3">
                  <c:v>7.3734292739203733E-2</c:v>
                </c:pt>
                <c:pt idx="4">
                  <c:v>-0.65436276394169512</c:v>
                </c:pt>
                <c:pt idx="5">
                  <c:v>1.0303647228377195</c:v>
                </c:pt>
                <c:pt idx="6">
                  <c:v>0.81328109372322843</c:v>
                </c:pt>
                <c:pt idx="7">
                  <c:v>0.47423907427491541</c:v>
                </c:pt>
                <c:pt idx="8">
                  <c:v>0.43249944509538518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6D-314B-9A8B-85D81FBBA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082655"/>
        <c:axId val="746039455"/>
      </c:lineChart>
      <c:catAx>
        <c:axId val="74608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6039455"/>
        <c:crosses val="autoZero"/>
        <c:auto val="1"/>
        <c:lblAlgn val="ctr"/>
        <c:lblOffset val="100"/>
        <c:noMultiLvlLbl val="0"/>
      </c:catAx>
      <c:valAx>
        <c:axId val="74603945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4608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114301</xdr:colOff>
      <xdr:row>1</xdr:row>
      <xdr:rowOff>88901</xdr:rowOff>
    </xdr:from>
    <xdr:to>
      <xdr:col>10</xdr:col>
      <xdr:colOff>685801</xdr:colOff>
      <xdr:row>14</xdr:row>
      <xdr:rowOff>127001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23B3C4B-30F7-AB42-BBB1-538387877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151285</xdr:colOff>
      <xdr:row>1</xdr:row>
      <xdr:rowOff>77775</xdr:rowOff>
    </xdr:from>
    <xdr:to>
      <xdr:col>10</xdr:col>
      <xdr:colOff>598544</xdr:colOff>
      <xdr:row>15</xdr:row>
      <xdr:rowOff>153976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E63BF03F-BDB3-7F7D-DCDC-759BEB378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52150</xdr:colOff>
      <xdr:row>16</xdr:row>
      <xdr:rowOff>195808</xdr:rowOff>
    </xdr:from>
    <xdr:to>
      <xdr:col>21</xdr:col>
      <xdr:colOff>487140</xdr:colOff>
      <xdr:row>31</xdr:row>
      <xdr:rowOff>191783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B495EA0F-4C6A-4D95-16DC-A82EA6FD4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00.472316898151" createdVersion="8" refreshedVersion="8" minRefreshableVersion="3" recordCount="132" xr:uid="{32F8B9B9-391C-1147-8206-9B30DA026700}">
  <cacheSource type="worksheet">
    <worksheetSource ref="A1:D133" sheet="Traffic_Data"/>
  </cacheSource>
  <cacheFields count="4">
    <cacheField name="Date" numFmtId="14">
      <sharedItems containsSemiMixedTypes="0" containsNonDate="0" containsDate="1" containsString="0" minDate="2015-01-01T00:00:00" maxDate="2025-12-02T00:00:00"/>
    </cacheField>
    <cacheField name="Passengers" numFmtId="0">
      <sharedItems containsString="0" containsBlank="1" containsNumber="1" containsInteger="1" minValue="1" maxValue="463575"/>
    </cacheField>
    <cacheField name="Month" numFmtId="0">
      <sharedItems containsSemiMixedTypes="0" containsString="0" containsNumber="1" containsInteger="1" minValue="1" maxValue="12"/>
    </cacheField>
    <cacheField name="Year " numFmtId="0">
      <sharedItems containsSemiMixedTypes="0" containsString="0" containsNumber="1" containsInteger="1" minValue="2015" maxValue="2025" count="11"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00.508594907405" createdVersion="8" refreshedVersion="8" minRefreshableVersion="3" recordCount="132" xr:uid="{4FD0FF88-262B-B749-9B69-5F78BC14203A}">
  <cacheSource type="worksheet">
    <worksheetSource name="Sheet_1"/>
  </cacheSource>
  <cacheFields count="5">
    <cacheField name="Date" numFmtId="14">
      <sharedItems containsSemiMixedTypes="0" containsNonDate="0" containsDate="1" containsString="0" minDate="2015-01-01T00:00:00" maxDate="2025-12-02T00:00:00"/>
    </cacheField>
    <cacheField name="Passengers" numFmtId="0">
      <sharedItems containsString="0" containsBlank="1" containsNumber="1" containsInteger="1" minValue="1" maxValue="463575"/>
    </cacheField>
    <cacheField name="Month" numFmtId="0">
      <sharedItems containsSemiMixedTypes="0" containsString="0" containsNumber="1" containsInteger="1" minValue="1" maxValue="12"/>
    </cacheField>
    <cacheField name="Year " numFmtId="0">
      <sharedItems containsSemiMixedTypes="0" containsString="0" containsNumber="1" containsInteger="1" minValue="2015" maxValue="2025" count="11"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Season " numFmtId="0">
      <sharedItems count="2">
        <s v="Winter"/>
        <s v="Sum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d v="2015-01-01T00:00:00"/>
    <n v="88895"/>
    <n v="1"/>
    <x v="0"/>
  </r>
  <r>
    <d v="2015-02-01T00:00:00"/>
    <n v="72964"/>
    <n v="2"/>
    <x v="0"/>
  </r>
  <r>
    <d v="2015-03-01T00:00:00"/>
    <n v="89135"/>
    <n v="3"/>
    <x v="0"/>
  </r>
  <r>
    <d v="2015-04-01T00:00:00"/>
    <n v="92849"/>
    <n v="4"/>
    <x v="0"/>
  </r>
  <r>
    <d v="2015-05-01T00:00:00"/>
    <n v="93351"/>
    <n v="5"/>
    <x v="0"/>
  </r>
  <r>
    <d v="2015-06-01T00:00:00"/>
    <n v="99730"/>
    <n v="6"/>
    <x v="0"/>
  </r>
  <r>
    <d v="2015-07-01T00:00:00"/>
    <n v="112469"/>
    <n v="7"/>
    <x v="0"/>
  </r>
  <r>
    <d v="2015-08-01T00:00:00"/>
    <n v="118598"/>
    <n v="8"/>
    <x v="0"/>
  </r>
  <r>
    <d v="2015-09-01T00:00:00"/>
    <n v="104207"/>
    <n v="9"/>
    <x v="0"/>
  </r>
  <r>
    <d v="2015-10-01T00:00:00"/>
    <n v="95996"/>
    <n v="10"/>
    <x v="0"/>
  </r>
  <r>
    <d v="2015-11-01T00:00:00"/>
    <n v="85187"/>
    <n v="11"/>
    <x v="0"/>
  </r>
  <r>
    <d v="2015-12-01T00:00:00"/>
    <n v="96785"/>
    <n v="12"/>
    <x v="0"/>
  </r>
  <r>
    <d v="2016-01-01T00:00:00"/>
    <n v="96524"/>
    <n v="1"/>
    <x v="1"/>
  </r>
  <r>
    <d v="2016-02-01T00:00:00"/>
    <n v="80193"/>
    <n v="2"/>
    <x v="1"/>
  </r>
  <r>
    <d v="2016-03-01T00:00:00"/>
    <n v="91940"/>
    <n v="3"/>
    <x v="1"/>
  </r>
  <r>
    <d v="2016-04-01T00:00:00"/>
    <n v="85444"/>
    <n v="4"/>
    <x v="1"/>
  </r>
  <r>
    <d v="2016-05-01T00:00:00"/>
    <n v="90510"/>
    <n v="5"/>
    <x v="1"/>
  </r>
  <r>
    <d v="2016-06-01T00:00:00"/>
    <n v="92973"/>
    <n v="6"/>
    <x v="1"/>
  </r>
  <r>
    <d v="2016-07-01T00:00:00"/>
    <n v="104516"/>
    <n v="7"/>
    <x v="1"/>
  </r>
  <r>
    <d v="2016-08-01T00:00:00"/>
    <n v="122734"/>
    <n v="8"/>
    <x v="1"/>
  </r>
  <r>
    <d v="2016-09-01T00:00:00"/>
    <n v="112644"/>
    <n v="9"/>
    <x v="1"/>
  </r>
  <r>
    <d v="2016-10-01T00:00:00"/>
    <n v="125976"/>
    <n v="10"/>
    <x v="1"/>
  </r>
  <r>
    <d v="2016-11-01T00:00:00"/>
    <n v="116210"/>
    <n v="11"/>
    <x v="1"/>
  </r>
  <r>
    <d v="2016-12-01T00:00:00"/>
    <n v="144691"/>
    <n v="12"/>
    <x v="1"/>
  </r>
  <r>
    <d v="2017-01-01T00:00:00"/>
    <n v="132108"/>
    <n v="1"/>
    <x v="2"/>
  </r>
  <r>
    <d v="2017-02-01T00:00:00"/>
    <n v="88704"/>
    <n v="2"/>
    <x v="2"/>
  </r>
  <r>
    <d v="2017-03-01T00:00:00"/>
    <n v="109899"/>
    <n v="3"/>
    <x v="2"/>
  </r>
  <r>
    <d v="2017-04-01T00:00:00"/>
    <n v="114811"/>
    <n v="4"/>
    <x v="2"/>
  </r>
  <r>
    <d v="2017-05-01T00:00:00"/>
    <n v="107731"/>
    <n v="5"/>
    <x v="2"/>
  </r>
  <r>
    <d v="2017-06-01T00:00:00"/>
    <n v="122451"/>
    <n v="6"/>
    <x v="2"/>
  </r>
  <r>
    <d v="2017-07-01T00:00:00"/>
    <n v="142110"/>
    <n v="7"/>
    <x v="2"/>
  </r>
  <r>
    <d v="2017-08-01T00:00:00"/>
    <n v="155475"/>
    <n v="8"/>
    <x v="2"/>
  </r>
  <r>
    <d v="2017-09-01T00:00:00"/>
    <n v="137397"/>
    <n v="9"/>
    <x v="2"/>
  </r>
  <r>
    <d v="2017-10-01T00:00:00"/>
    <n v="126183"/>
    <n v="10"/>
    <x v="2"/>
  </r>
  <r>
    <d v="2017-11-01T00:00:00"/>
    <n v="111909"/>
    <n v="11"/>
    <x v="2"/>
  </r>
  <r>
    <d v="2017-12-01T00:00:00"/>
    <n v="145068"/>
    <n v="12"/>
    <x v="2"/>
  </r>
  <r>
    <d v="2018-01-01T00:00:00"/>
    <n v="141895"/>
    <n v="1"/>
    <x v="3"/>
  </r>
  <r>
    <d v="2018-02-01T00:00:00"/>
    <n v="94344"/>
    <n v="2"/>
    <x v="3"/>
  </r>
  <r>
    <d v="2018-03-01T00:00:00"/>
    <n v="115105"/>
    <n v="3"/>
    <x v="3"/>
  </r>
  <r>
    <d v="2018-04-01T00:00:00"/>
    <n v="126481"/>
    <n v="4"/>
    <x v="3"/>
  </r>
  <r>
    <d v="2018-05-01T00:00:00"/>
    <n v="118447"/>
    <n v="5"/>
    <x v="3"/>
  </r>
  <r>
    <d v="2018-06-01T00:00:00"/>
    <n v="129922"/>
    <n v="6"/>
    <x v="3"/>
  </r>
  <r>
    <d v="2018-07-01T00:00:00"/>
    <n v="152699"/>
    <n v="7"/>
    <x v="3"/>
  </r>
  <r>
    <d v="2018-08-01T00:00:00"/>
    <n v="170682"/>
    <n v="8"/>
    <x v="3"/>
  </r>
  <r>
    <d v="2018-09-01T00:00:00"/>
    <n v="142722"/>
    <n v="9"/>
    <x v="3"/>
  </r>
  <r>
    <d v="2018-10-01T00:00:00"/>
    <n v="125178"/>
    <n v="10"/>
    <x v="3"/>
  </r>
  <r>
    <d v="2018-11-01T00:00:00"/>
    <n v="116225"/>
    <n v="11"/>
    <x v="3"/>
  </r>
  <r>
    <d v="2018-12-01T00:00:00"/>
    <n v="138662"/>
    <n v="12"/>
    <x v="3"/>
  </r>
  <r>
    <d v="2019-01-01T00:00:00"/>
    <n v="139649"/>
    <n v="1"/>
    <x v="4"/>
  </r>
  <r>
    <d v="2019-02-01T00:00:00"/>
    <n v="105094"/>
    <n v="2"/>
    <x v="4"/>
  </r>
  <r>
    <d v="2019-03-01T00:00:00"/>
    <n v="121201"/>
    <n v="3"/>
    <x v="4"/>
  </r>
  <r>
    <d v="2019-04-01T00:00:00"/>
    <n v="132740"/>
    <n v="4"/>
    <x v="4"/>
  </r>
  <r>
    <d v="2019-05-01T00:00:00"/>
    <n v="124430"/>
    <n v="5"/>
    <x v="4"/>
  </r>
  <r>
    <d v="2019-06-01T00:00:00"/>
    <n v="137705"/>
    <n v="6"/>
    <x v="4"/>
  </r>
  <r>
    <d v="2019-07-01T00:00:00"/>
    <n v="161256"/>
    <n v="7"/>
    <x v="4"/>
  </r>
  <r>
    <d v="2019-08-01T00:00:00"/>
    <n v="180634"/>
    <n v="8"/>
    <x v="4"/>
  </r>
  <r>
    <d v="2019-09-01T00:00:00"/>
    <n v="153112"/>
    <n v="9"/>
    <x v="4"/>
  </r>
  <r>
    <d v="2019-10-01T00:00:00"/>
    <n v="141712"/>
    <n v="10"/>
    <x v="4"/>
  </r>
  <r>
    <d v="2019-11-01T00:00:00"/>
    <n v="130155"/>
    <n v="11"/>
    <x v="4"/>
  </r>
  <r>
    <d v="2019-12-01T00:00:00"/>
    <n v="160611"/>
    <n v="12"/>
    <x v="4"/>
  </r>
  <r>
    <d v="2020-01-01T00:00:00"/>
    <n v="138736"/>
    <n v="1"/>
    <x v="5"/>
  </r>
  <r>
    <d v="2020-02-01T00:00:00"/>
    <n v="98015"/>
    <n v="2"/>
    <x v="5"/>
  </r>
  <r>
    <d v="2020-03-01T00:00:00"/>
    <n v="24072"/>
    <n v="3"/>
    <x v="5"/>
  </r>
  <r>
    <d v="2020-04-01T00:00:00"/>
    <n v="434"/>
    <n v="4"/>
    <x v="5"/>
  </r>
  <r>
    <d v="2020-05-01T00:00:00"/>
    <n v="1"/>
    <n v="5"/>
    <x v="5"/>
  </r>
  <r>
    <d v="2020-06-01T00:00:00"/>
    <n v="8903"/>
    <n v="6"/>
    <x v="5"/>
  </r>
  <r>
    <d v="2020-07-01T00:00:00"/>
    <n v="64254"/>
    <n v="7"/>
    <x v="5"/>
  </r>
  <r>
    <d v="2020-08-01T00:00:00"/>
    <n v="84518"/>
    <n v="8"/>
    <x v="5"/>
  </r>
  <r>
    <d v="2020-09-01T00:00:00"/>
    <n v="52723"/>
    <n v="9"/>
    <x v="5"/>
  </r>
  <r>
    <d v="2020-10-01T00:00:00"/>
    <n v="51100"/>
    <n v="10"/>
    <x v="5"/>
  </r>
  <r>
    <d v="2020-11-01T00:00:00"/>
    <n v="28032"/>
    <n v="11"/>
    <x v="5"/>
  </r>
  <r>
    <d v="2020-12-01T00:00:00"/>
    <n v="32751"/>
    <n v="12"/>
    <x v="5"/>
  </r>
  <r>
    <d v="2021-01-01T00:00:00"/>
    <n v="41247"/>
    <n v="1"/>
    <x v="6"/>
  </r>
  <r>
    <d v="2021-02-01T00:00:00"/>
    <n v="38245"/>
    <n v="2"/>
    <x v="6"/>
  </r>
  <r>
    <d v="2021-03-01T00:00:00"/>
    <n v="41099"/>
    <n v="3"/>
    <x v="6"/>
  </r>
  <r>
    <d v="2021-04-01T00:00:00"/>
    <n v="50544"/>
    <n v="4"/>
    <x v="6"/>
  </r>
  <r>
    <d v="2021-05-01T00:00:00"/>
    <n v="64112"/>
    <n v="5"/>
    <x v="6"/>
  </r>
  <r>
    <d v="2021-06-01T00:00:00"/>
    <n v="98468"/>
    <n v="6"/>
    <x v="6"/>
  </r>
  <r>
    <d v="2021-07-01T00:00:00"/>
    <n v="148013"/>
    <n v="7"/>
    <x v="6"/>
  </r>
  <r>
    <d v="2021-08-01T00:00:00"/>
    <n v="206686"/>
    <n v="8"/>
    <x v="6"/>
  </r>
  <r>
    <d v="2021-09-01T00:00:00"/>
    <n v="146692"/>
    <n v="9"/>
    <x v="6"/>
  </r>
  <r>
    <d v="2021-10-01T00:00:00"/>
    <n v="128011"/>
    <n v="10"/>
    <x v="6"/>
  </r>
  <r>
    <d v="2021-11-01T00:00:00"/>
    <n v="100437"/>
    <n v="11"/>
    <x v="6"/>
  </r>
  <r>
    <d v="2021-12-01T00:00:00"/>
    <n v="121243"/>
    <n v="12"/>
    <x v="6"/>
  </r>
  <r>
    <d v="2022-01-01T00:00:00"/>
    <n v="119595"/>
    <n v="1"/>
    <x v="7"/>
  </r>
  <r>
    <d v="2022-02-01T00:00:00"/>
    <n v="99136"/>
    <n v="2"/>
    <x v="7"/>
  </r>
  <r>
    <d v="2022-03-01T00:00:00"/>
    <n v="135770"/>
    <n v="3"/>
    <x v="7"/>
  </r>
  <r>
    <d v="2022-04-01T00:00:00"/>
    <n v="177742"/>
    <n v="4"/>
    <x v="7"/>
  </r>
  <r>
    <d v="2022-05-01T00:00:00"/>
    <n v="191496"/>
    <n v="5"/>
    <x v="7"/>
  </r>
  <r>
    <d v="2022-06-01T00:00:00"/>
    <n v="189145"/>
    <n v="6"/>
    <x v="7"/>
  </r>
  <r>
    <d v="2022-07-01T00:00:00"/>
    <n v="208917"/>
    <n v="7"/>
    <x v="7"/>
  </r>
  <r>
    <d v="2022-08-01T00:00:00"/>
    <n v="239505"/>
    <n v="8"/>
    <x v="7"/>
  </r>
  <r>
    <d v="2022-09-01T00:00:00"/>
    <n v="204168"/>
    <n v="9"/>
    <x v="7"/>
  </r>
  <r>
    <d v="2022-10-01T00:00:00"/>
    <n v="200089"/>
    <n v="10"/>
    <x v="7"/>
  </r>
  <r>
    <d v="2022-11-01T00:00:00"/>
    <n v="185729"/>
    <n v="11"/>
    <x v="7"/>
  </r>
  <r>
    <d v="2022-12-01T00:00:00"/>
    <n v="197078"/>
    <n v="12"/>
    <x v="7"/>
  </r>
  <r>
    <d v="2023-01-01T00:00:00"/>
    <n v="202026"/>
    <n v="1"/>
    <x v="8"/>
  </r>
  <r>
    <d v="2023-02-01T00:00:00"/>
    <n v="166104"/>
    <n v="2"/>
    <x v="8"/>
  </r>
  <r>
    <d v="2023-03-01T00:00:00"/>
    <n v="194028"/>
    <n v="3"/>
    <x v="8"/>
  </r>
  <r>
    <d v="2023-04-01T00:00:00"/>
    <n v="245228"/>
    <n v="4"/>
    <x v="8"/>
  </r>
  <r>
    <d v="2023-05-01T00:00:00"/>
    <n v="239772"/>
    <n v="5"/>
    <x v="8"/>
  </r>
  <r>
    <d v="2023-06-01T00:00:00"/>
    <n v="270259"/>
    <n v="6"/>
    <x v="8"/>
  </r>
  <r>
    <d v="2023-07-01T00:00:00"/>
    <n v="307337"/>
    <n v="7"/>
    <x v="8"/>
  </r>
  <r>
    <d v="2023-08-01T00:00:00"/>
    <n v="334121"/>
    <n v="8"/>
    <x v="8"/>
  </r>
  <r>
    <d v="2023-09-01T00:00:00"/>
    <n v="292664"/>
    <n v="9"/>
    <x v="8"/>
  </r>
  <r>
    <d v="2023-10-01T00:00:00"/>
    <n v="283769"/>
    <n v="10"/>
    <x v="8"/>
  </r>
  <r>
    <d v="2023-11-01T00:00:00"/>
    <n v="304946"/>
    <n v="11"/>
    <x v="8"/>
  </r>
  <r>
    <d v="2023-12-01T00:00:00"/>
    <n v="326957"/>
    <n v="12"/>
    <x v="8"/>
  </r>
  <r>
    <d v="2024-01-01T00:00:00"/>
    <n v="322881"/>
    <n v="1"/>
    <x v="9"/>
  </r>
  <r>
    <d v="2024-02-01T00:00:00"/>
    <n v="283767"/>
    <n v="2"/>
    <x v="9"/>
  </r>
  <r>
    <d v="2024-03-01T00:00:00"/>
    <n v="353007"/>
    <n v="3"/>
    <x v="9"/>
  </r>
  <r>
    <d v="2024-04-01T00:00:00"/>
    <n v="398996"/>
    <n v="4"/>
    <x v="9"/>
  </r>
  <r>
    <d v="2024-05-01T00:00:00"/>
    <n v="413799"/>
    <n v="5"/>
    <x v="9"/>
  </r>
  <r>
    <d v="2024-06-01T00:00:00"/>
    <n v="419870"/>
    <n v="6"/>
    <x v="9"/>
  </r>
  <r>
    <d v="2024-07-01T00:00:00"/>
    <n v="431222"/>
    <n v="7"/>
    <x v="9"/>
  </r>
  <r>
    <d v="2024-08-01T00:00:00"/>
    <n v="450147"/>
    <n v="8"/>
    <x v="9"/>
  </r>
  <r>
    <d v="2024-09-01T00:00:00"/>
    <n v="427774"/>
    <n v="9"/>
    <x v="9"/>
  </r>
  <r>
    <d v="2024-10-01T00:00:00"/>
    <n v="381716"/>
    <n v="10"/>
    <x v="9"/>
  </r>
  <r>
    <d v="2024-11-01T00:00:00"/>
    <n v="326786"/>
    <n v="11"/>
    <x v="9"/>
  </r>
  <r>
    <d v="2024-12-01T00:00:00"/>
    <n v="327063"/>
    <n v="12"/>
    <x v="9"/>
  </r>
  <r>
    <d v="2025-01-01T00:00:00"/>
    <n v="326436"/>
    <n v="1"/>
    <x v="10"/>
  </r>
  <r>
    <d v="2025-02-01T00:00:00"/>
    <n v="291655"/>
    <n v="2"/>
    <x v="10"/>
  </r>
  <r>
    <d v="2025-03-01T00:00:00"/>
    <n v="345363"/>
    <n v="3"/>
    <x v="10"/>
  </r>
  <r>
    <d v="2025-04-01T00:00:00"/>
    <n v="387874"/>
    <n v="4"/>
    <x v="10"/>
  </r>
  <r>
    <d v="2025-05-01T00:00:00"/>
    <n v="408868"/>
    <n v="5"/>
    <x v="10"/>
  </r>
  <r>
    <d v="2025-06-01T00:00:00"/>
    <n v="409829"/>
    <n v="6"/>
    <x v="10"/>
  </r>
  <r>
    <d v="2025-07-01T00:00:00"/>
    <n v="423004"/>
    <n v="7"/>
    <x v="10"/>
  </r>
  <r>
    <d v="2025-08-01T00:00:00"/>
    <n v="463575"/>
    <n v="8"/>
    <x v="10"/>
  </r>
  <r>
    <d v="2025-09-01T00:00:00"/>
    <n v="411280"/>
    <n v="9"/>
    <x v="10"/>
  </r>
  <r>
    <d v="2025-10-01T00:00:00"/>
    <m/>
    <n v="10"/>
    <x v="10"/>
  </r>
  <r>
    <d v="2025-11-01T00:00:00"/>
    <m/>
    <n v="11"/>
    <x v="10"/>
  </r>
  <r>
    <d v="2025-12-01T00:00:00"/>
    <m/>
    <n v="12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d v="2015-01-01T00:00:00"/>
    <n v="88895"/>
    <n v="1"/>
    <x v="0"/>
    <x v="0"/>
  </r>
  <r>
    <d v="2015-02-01T00:00:00"/>
    <n v="72964"/>
    <n v="2"/>
    <x v="0"/>
    <x v="0"/>
  </r>
  <r>
    <d v="2015-03-01T00:00:00"/>
    <n v="89135"/>
    <n v="3"/>
    <x v="0"/>
    <x v="0"/>
  </r>
  <r>
    <d v="2015-04-01T00:00:00"/>
    <n v="92849"/>
    <n v="4"/>
    <x v="0"/>
    <x v="0"/>
  </r>
  <r>
    <d v="2015-05-01T00:00:00"/>
    <n v="93351"/>
    <n v="5"/>
    <x v="0"/>
    <x v="1"/>
  </r>
  <r>
    <d v="2015-06-01T00:00:00"/>
    <n v="99730"/>
    <n v="6"/>
    <x v="0"/>
    <x v="1"/>
  </r>
  <r>
    <d v="2015-07-01T00:00:00"/>
    <n v="112469"/>
    <n v="7"/>
    <x v="0"/>
    <x v="1"/>
  </r>
  <r>
    <d v="2015-08-01T00:00:00"/>
    <n v="118598"/>
    <n v="8"/>
    <x v="0"/>
    <x v="1"/>
  </r>
  <r>
    <d v="2015-09-01T00:00:00"/>
    <n v="104207"/>
    <n v="9"/>
    <x v="0"/>
    <x v="1"/>
  </r>
  <r>
    <d v="2015-10-01T00:00:00"/>
    <n v="95996"/>
    <n v="10"/>
    <x v="0"/>
    <x v="0"/>
  </r>
  <r>
    <d v="2015-11-01T00:00:00"/>
    <n v="85187"/>
    <n v="11"/>
    <x v="0"/>
    <x v="0"/>
  </r>
  <r>
    <d v="2015-12-01T00:00:00"/>
    <n v="96785"/>
    <n v="12"/>
    <x v="0"/>
    <x v="0"/>
  </r>
  <r>
    <d v="2016-01-01T00:00:00"/>
    <n v="96524"/>
    <n v="1"/>
    <x v="1"/>
    <x v="0"/>
  </r>
  <r>
    <d v="2016-02-01T00:00:00"/>
    <n v="80193"/>
    <n v="2"/>
    <x v="1"/>
    <x v="0"/>
  </r>
  <r>
    <d v="2016-03-01T00:00:00"/>
    <n v="91940"/>
    <n v="3"/>
    <x v="1"/>
    <x v="0"/>
  </r>
  <r>
    <d v="2016-04-01T00:00:00"/>
    <n v="85444"/>
    <n v="4"/>
    <x v="1"/>
    <x v="0"/>
  </r>
  <r>
    <d v="2016-05-01T00:00:00"/>
    <n v="90510"/>
    <n v="5"/>
    <x v="1"/>
    <x v="1"/>
  </r>
  <r>
    <d v="2016-06-01T00:00:00"/>
    <n v="92973"/>
    <n v="6"/>
    <x v="1"/>
    <x v="1"/>
  </r>
  <r>
    <d v="2016-07-01T00:00:00"/>
    <n v="104516"/>
    <n v="7"/>
    <x v="1"/>
    <x v="1"/>
  </r>
  <r>
    <d v="2016-08-01T00:00:00"/>
    <n v="122734"/>
    <n v="8"/>
    <x v="1"/>
    <x v="1"/>
  </r>
  <r>
    <d v="2016-09-01T00:00:00"/>
    <n v="112644"/>
    <n v="9"/>
    <x v="1"/>
    <x v="1"/>
  </r>
  <r>
    <d v="2016-10-01T00:00:00"/>
    <n v="125976"/>
    <n v="10"/>
    <x v="1"/>
    <x v="0"/>
  </r>
  <r>
    <d v="2016-11-01T00:00:00"/>
    <n v="116210"/>
    <n v="11"/>
    <x v="1"/>
    <x v="0"/>
  </r>
  <r>
    <d v="2016-12-01T00:00:00"/>
    <n v="144691"/>
    <n v="12"/>
    <x v="1"/>
    <x v="0"/>
  </r>
  <r>
    <d v="2017-01-01T00:00:00"/>
    <n v="132108"/>
    <n v="1"/>
    <x v="2"/>
    <x v="0"/>
  </r>
  <r>
    <d v="2017-02-01T00:00:00"/>
    <n v="88704"/>
    <n v="2"/>
    <x v="2"/>
    <x v="0"/>
  </r>
  <r>
    <d v="2017-03-01T00:00:00"/>
    <n v="109899"/>
    <n v="3"/>
    <x v="2"/>
    <x v="0"/>
  </r>
  <r>
    <d v="2017-04-01T00:00:00"/>
    <n v="114811"/>
    <n v="4"/>
    <x v="2"/>
    <x v="0"/>
  </r>
  <r>
    <d v="2017-05-01T00:00:00"/>
    <n v="107731"/>
    <n v="5"/>
    <x v="2"/>
    <x v="1"/>
  </r>
  <r>
    <d v="2017-06-01T00:00:00"/>
    <n v="122451"/>
    <n v="6"/>
    <x v="2"/>
    <x v="1"/>
  </r>
  <r>
    <d v="2017-07-01T00:00:00"/>
    <n v="142110"/>
    <n v="7"/>
    <x v="2"/>
    <x v="1"/>
  </r>
  <r>
    <d v="2017-08-01T00:00:00"/>
    <n v="155475"/>
    <n v="8"/>
    <x v="2"/>
    <x v="1"/>
  </r>
  <r>
    <d v="2017-09-01T00:00:00"/>
    <n v="137397"/>
    <n v="9"/>
    <x v="2"/>
    <x v="1"/>
  </r>
  <r>
    <d v="2017-10-01T00:00:00"/>
    <n v="126183"/>
    <n v="10"/>
    <x v="2"/>
    <x v="0"/>
  </r>
  <r>
    <d v="2017-11-01T00:00:00"/>
    <n v="111909"/>
    <n v="11"/>
    <x v="2"/>
    <x v="0"/>
  </r>
  <r>
    <d v="2017-12-01T00:00:00"/>
    <n v="145068"/>
    <n v="12"/>
    <x v="2"/>
    <x v="0"/>
  </r>
  <r>
    <d v="2018-01-01T00:00:00"/>
    <n v="141895"/>
    <n v="1"/>
    <x v="3"/>
    <x v="0"/>
  </r>
  <r>
    <d v="2018-02-01T00:00:00"/>
    <n v="94344"/>
    <n v="2"/>
    <x v="3"/>
    <x v="0"/>
  </r>
  <r>
    <d v="2018-03-01T00:00:00"/>
    <n v="115105"/>
    <n v="3"/>
    <x v="3"/>
    <x v="0"/>
  </r>
  <r>
    <d v="2018-04-01T00:00:00"/>
    <n v="126481"/>
    <n v="4"/>
    <x v="3"/>
    <x v="0"/>
  </r>
  <r>
    <d v="2018-05-01T00:00:00"/>
    <n v="118447"/>
    <n v="5"/>
    <x v="3"/>
    <x v="1"/>
  </r>
  <r>
    <d v="2018-06-01T00:00:00"/>
    <n v="129922"/>
    <n v="6"/>
    <x v="3"/>
    <x v="1"/>
  </r>
  <r>
    <d v="2018-07-01T00:00:00"/>
    <n v="152699"/>
    <n v="7"/>
    <x v="3"/>
    <x v="1"/>
  </r>
  <r>
    <d v="2018-08-01T00:00:00"/>
    <n v="170682"/>
    <n v="8"/>
    <x v="3"/>
    <x v="1"/>
  </r>
  <r>
    <d v="2018-09-01T00:00:00"/>
    <n v="142722"/>
    <n v="9"/>
    <x v="3"/>
    <x v="1"/>
  </r>
  <r>
    <d v="2018-10-01T00:00:00"/>
    <n v="125178"/>
    <n v="10"/>
    <x v="3"/>
    <x v="0"/>
  </r>
  <r>
    <d v="2018-11-01T00:00:00"/>
    <n v="116225"/>
    <n v="11"/>
    <x v="3"/>
    <x v="0"/>
  </r>
  <r>
    <d v="2018-12-01T00:00:00"/>
    <n v="138662"/>
    <n v="12"/>
    <x v="3"/>
    <x v="0"/>
  </r>
  <r>
    <d v="2019-01-01T00:00:00"/>
    <n v="139649"/>
    <n v="1"/>
    <x v="4"/>
    <x v="0"/>
  </r>
  <r>
    <d v="2019-02-01T00:00:00"/>
    <n v="105094"/>
    <n v="2"/>
    <x v="4"/>
    <x v="0"/>
  </r>
  <r>
    <d v="2019-03-01T00:00:00"/>
    <n v="121201"/>
    <n v="3"/>
    <x v="4"/>
    <x v="0"/>
  </r>
  <r>
    <d v="2019-04-01T00:00:00"/>
    <n v="132740"/>
    <n v="4"/>
    <x v="4"/>
    <x v="0"/>
  </r>
  <r>
    <d v="2019-05-01T00:00:00"/>
    <n v="124430"/>
    <n v="5"/>
    <x v="4"/>
    <x v="1"/>
  </r>
  <r>
    <d v="2019-06-01T00:00:00"/>
    <n v="137705"/>
    <n v="6"/>
    <x v="4"/>
    <x v="1"/>
  </r>
  <r>
    <d v="2019-07-01T00:00:00"/>
    <n v="161256"/>
    <n v="7"/>
    <x v="4"/>
    <x v="1"/>
  </r>
  <r>
    <d v="2019-08-01T00:00:00"/>
    <n v="180634"/>
    <n v="8"/>
    <x v="4"/>
    <x v="1"/>
  </r>
  <r>
    <d v="2019-09-01T00:00:00"/>
    <n v="153112"/>
    <n v="9"/>
    <x v="4"/>
    <x v="1"/>
  </r>
  <r>
    <d v="2019-10-01T00:00:00"/>
    <n v="141712"/>
    <n v="10"/>
    <x v="4"/>
    <x v="0"/>
  </r>
  <r>
    <d v="2019-11-01T00:00:00"/>
    <n v="130155"/>
    <n v="11"/>
    <x v="4"/>
    <x v="0"/>
  </r>
  <r>
    <d v="2019-12-01T00:00:00"/>
    <n v="160611"/>
    <n v="12"/>
    <x v="4"/>
    <x v="0"/>
  </r>
  <r>
    <d v="2020-01-01T00:00:00"/>
    <n v="138736"/>
    <n v="1"/>
    <x v="5"/>
    <x v="0"/>
  </r>
  <r>
    <d v="2020-02-01T00:00:00"/>
    <n v="98015"/>
    <n v="2"/>
    <x v="5"/>
    <x v="0"/>
  </r>
  <r>
    <d v="2020-03-01T00:00:00"/>
    <n v="24072"/>
    <n v="3"/>
    <x v="5"/>
    <x v="0"/>
  </r>
  <r>
    <d v="2020-04-01T00:00:00"/>
    <n v="434"/>
    <n v="4"/>
    <x v="5"/>
    <x v="0"/>
  </r>
  <r>
    <d v="2020-05-01T00:00:00"/>
    <n v="1"/>
    <n v="5"/>
    <x v="5"/>
    <x v="1"/>
  </r>
  <r>
    <d v="2020-06-01T00:00:00"/>
    <n v="8903"/>
    <n v="6"/>
    <x v="5"/>
    <x v="1"/>
  </r>
  <r>
    <d v="2020-07-01T00:00:00"/>
    <n v="64254"/>
    <n v="7"/>
    <x v="5"/>
    <x v="1"/>
  </r>
  <r>
    <d v="2020-08-01T00:00:00"/>
    <n v="84518"/>
    <n v="8"/>
    <x v="5"/>
    <x v="1"/>
  </r>
  <r>
    <d v="2020-09-01T00:00:00"/>
    <n v="52723"/>
    <n v="9"/>
    <x v="5"/>
    <x v="1"/>
  </r>
  <r>
    <d v="2020-10-01T00:00:00"/>
    <n v="51100"/>
    <n v="10"/>
    <x v="5"/>
    <x v="0"/>
  </r>
  <r>
    <d v="2020-11-01T00:00:00"/>
    <n v="28032"/>
    <n v="11"/>
    <x v="5"/>
    <x v="0"/>
  </r>
  <r>
    <d v="2020-12-01T00:00:00"/>
    <n v="32751"/>
    <n v="12"/>
    <x v="5"/>
    <x v="0"/>
  </r>
  <r>
    <d v="2021-01-01T00:00:00"/>
    <n v="41247"/>
    <n v="1"/>
    <x v="6"/>
    <x v="0"/>
  </r>
  <r>
    <d v="2021-02-01T00:00:00"/>
    <n v="38245"/>
    <n v="2"/>
    <x v="6"/>
    <x v="0"/>
  </r>
  <r>
    <d v="2021-03-01T00:00:00"/>
    <n v="41099"/>
    <n v="3"/>
    <x v="6"/>
    <x v="0"/>
  </r>
  <r>
    <d v="2021-04-01T00:00:00"/>
    <n v="50544"/>
    <n v="4"/>
    <x v="6"/>
    <x v="0"/>
  </r>
  <r>
    <d v="2021-05-01T00:00:00"/>
    <n v="64112"/>
    <n v="5"/>
    <x v="6"/>
    <x v="1"/>
  </r>
  <r>
    <d v="2021-06-01T00:00:00"/>
    <n v="98468"/>
    <n v="6"/>
    <x v="6"/>
    <x v="1"/>
  </r>
  <r>
    <d v="2021-07-01T00:00:00"/>
    <n v="148013"/>
    <n v="7"/>
    <x v="6"/>
    <x v="1"/>
  </r>
  <r>
    <d v="2021-08-01T00:00:00"/>
    <n v="206686"/>
    <n v="8"/>
    <x v="6"/>
    <x v="1"/>
  </r>
  <r>
    <d v="2021-09-01T00:00:00"/>
    <n v="146692"/>
    <n v="9"/>
    <x v="6"/>
    <x v="1"/>
  </r>
  <r>
    <d v="2021-10-01T00:00:00"/>
    <n v="128011"/>
    <n v="10"/>
    <x v="6"/>
    <x v="0"/>
  </r>
  <r>
    <d v="2021-11-01T00:00:00"/>
    <n v="100437"/>
    <n v="11"/>
    <x v="6"/>
    <x v="0"/>
  </r>
  <r>
    <d v="2021-12-01T00:00:00"/>
    <n v="121243"/>
    <n v="12"/>
    <x v="6"/>
    <x v="0"/>
  </r>
  <r>
    <d v="2022-01-01T00:00:00"/>
    <n v="119595"/>
    <n v="1"/>
    <x v="7"/>
    <x v="0"/>
  </r>
  <r>
    <d v="2022-02-01T00:00:00"/>
    <n v="99136"/>
    <n v="2"/>
    <x v="7"/>
    <x v="0"/>
  </r>
  <r>
    <d v="2022-03-01T00:00:00"/>
    <n v="135770"/>
    <n v="3"/>
    <x v="7"/>
    <x v="0"/>
  </r>
  <r>
    <d v="2022-04-01T00:00:00"/>
    <n v="177742"/>
    <n v="4"/>
    <x v="7"/>
    <x v="0"/>
  </r>
  <r>
    <d v="2022-05-01T00:00:00"/>
    <n v="191496"/>
    <n v="5"/>
    <x v="7"/>
    <x v="1"/>
  </r>
  <r>
    <d v="2022-06-01T00:00:00"/>
    <n v="189145"/>
    <n v="6"/>
    <x v="7"/>
    <x v="1"/>
  </r>
  <r>
    <d v="2022-07-01T00:00:00"/>
    <n v="208917"/>
    <n v="7"/>
    <x v="7"/>
    <x v="1"/>
  </r>
  <r>
    <d v="2022-08-01T00:00:00"/>
    <n v="239505"/>
    <n v="8"/>
    <x v="7"/>
    <x v="1"/>
  </r>
  <r>
    <d v="2022-09-01T00:00:00"/>
    <n v="204168"/>
    <n v="9"/>
    <x v="7"/>
    <x v="1"/>
  </r>
  <r>
    <d v="2022-10-01T00:00:00"/>
    <n v="200089"/>
    <n v="10"/>
    <x v="7"/>
    <x v="0"/>
  </r>
  <r>
    <d v="2022-11-01T00:00:00"/>
    <n v="185729"/>
    <n v="11"/>
    <x v="7"/>
    <x v="0"/>
  </r>
  <r>
    <d v="2022-12-01T00:00:00"/>
    <n v="197078"/>
    <n v="12"/>
    <x v="7"/>
    <x v="0"/>
  </r>
  <r>
    <d v="2023-01-01T00:00:00"/>
    <n v="202026"/>
    <n v="1"/>
    <x v="8"/>
    <x v="0"/>
  </r>
  <r>
    <d v="2023-02-01T00:00:00"/>
    <n v="166104"/>
    <n v="2"/>
    <x v="8"/>
    <x v="0"/>
  </r>
  <r>
    <d v="2023-03-01T00:00:00"/>
    <n v="194028"/>
    <n v="3"/>
    <x v="8"/>
    <x v="0"/>
  </r>
  <r>
    <d v="2023-04-01T00:00:00"/>
    <n v="245228"/>
    <n v="4"/>
    <x v="8"/>
    <x v="0"/>
  </r>
  <r>
    <d v="2023-05-01T00:00:00"/>
    <n v="239772"/>
    <n v="5"/>
    <x v="8"/>
    <x v="1"/>
  </r>
  <r>
    <d v="2023-06-01T00:00:00"/>
    <n v="270259"/>
    <n v="6"/>
    <x v="8"/>
    <x v="1"/>
  </r>
  <r>
    <d v="2023-07-01T00:00:00"/>
    <n v="307337"/>
    <n v="7"/>
    <x v="8"/>
    <x v="1"/>
  </r>
  <r>
    <d v="2023-08-01T00:00:00"/>
    <n v="334121"/>
    <n v="8"/>
    <x v="8"/>
    <x v="1"/>
  </r>
  <r>
    <d v="2023-09-01T00:00:00"/>
    <n v="292664"/>
    <n v="9"/>
    <x v="8"/>
    <x v="1"/>
  </r>
  <r>
    <d v="2023-10-01T00:00:00"/>
    <n v="283769"/>
    <n v="10"/>
    <x v="8"/>
    <x v="0"/>
  </r>
  <r>
    <d v="2023-11-01T00:00:00"/>
    <n v="304946"/>
    <n v="11"/>
    <x v="8"/>
    <x v="0"/>
  </r>
  <r>
    <d v="2023-12-01T00:00:00"/>
    <n v="326957"/>
    <n v="12"/>
    <x v="8"/>
    <x v="0"/>
  </r>
  <r>
    <d v="2024-01-01T00:00:00"/>
    <n v="322881"/>
    <n v="1"/>
    <x v="9"/>
    <x v="0"/>
  </r>
  <r>
    <d v="2024-02-01T00:00:00"/>
    <n v="283767"/>
    <n v="2"/>
    <x v="9"/>
    <x v="0"/>
  </r>
  <r>
    <d v="2024-03-01T00:00:00"/>
    <n v="353007"/>
    <n v="3"/>
    <x v="9"/>
    <x v="0"/>
  </r>
  <r>
    <d v="2024-04-01T00:00:00"/>
    <n v="398996"/>
    <n v="4"/>
    <x v="9"/>
    <x v="0"/>
  </r>
  <r>
    <d v="2024-05-01T00:00:00"/>
    <n v="413799"/>
    <n v="5"/>
    <x v="9"/>
    <x v="1"/>
  </r>
  <r>
    <d v="2024-06-01T00:00:00"/>
    <n v="419870"/>
    <n v="6"/>
    <x v="9"/>
    <x v="1"/>
  </r>
  <r>
    <d v="2024-07-01T00:00:00"/>
    <n v="431222"/>
    <n v="7"/>
    <x v="9"/>
    <x v="1"/>
  </r>
  <r>
    <d v="2024-08-01T00:00:00"/>
    <n v="450147"/>
    <n v="8"/>
    <x v="9"/>
    <x v="1"/>
  </r>
  <r>
    <d v="2024-09-01T00:00:00"/>
    <n v="427774"/>
    <n v="9"/>
    <x v="9"/>
    <x v="1"/>
  </r>
  <r>
    <d v="2024-10-01T00:00:00"/>
    <n v="381716"/>
    <n v="10"/>
    <x v="9"/>
    <x v="0"/>
  </r>
  <r>
    <d v="2024-11-01T00:00:00"/>
    <n v="326786"/>
    <n v="11"/>
    <x v="9"/>
    <x v="0"/>
  </r>
  <r>
    <d v="2024-12-01T00:00:00"/>
    <n v="327063"/>
    <n v="12"/>
    <x v="9"/>
    <x v="0"/>
  </r>
  <r>
    <d v="2025-01-01T00:00:00"/>
    <n v="326436"/>
    <n v="1"/>
    <x v="10"/>
    <x v="0"/>
  </r>
  <r>
    <d v="2025-02-01T00:00:00"/>
    <n v="291655"/>
    <n v="2"/>
    <x v="10"/>
    <x v="0"/>
  </r>
  <r>
    <d v="2025-03-01T00:00:00"/>
    <n v="345363"/>
    <n v="3"/>
    <x v="10"/>
    <x v="0"/>
  </r>
  <r>
    <d v="2025-04-01T00:00:00"/>
    <n v="387874"/>
    <n v="4"/>
    <x v="10"/>
    <x v="0"/>
  </r>
  <r>
    <d v="2025-05-01T00:00:00"/>
    <n v="408868"/>
    <n v="5"/>
    <x v="10"/>
    <x v="1"/>
  </r>
  <r>
    <d v="2025-06-01T00:00:00"/>
    <n v="409829"/>
    <n v="6"/>
    <x v="10"/>
    <x v="1"/>
  </r>
  <r>
    <d v="2025-07-01T00:00:00"/>
    <n v="423004"/>
    <n v="7"/>
    <x v="10"/>
    <x v="1"/>
  </r>
  <r>
    <d v="2025-08-01T00:00:00"/>
    <n v="463575"/>
    <n v="8"/>
    <x v="10"/>
    <x v="1"/>
  </r>
  <r>
    <d v="2025-09-01T00:00:00"/>
    <n v="411280"/>
    <n v="9"/>
    <x v="10"/>
    <x v="1"/>
  </r>
  <r>
    <d v="2025-10-01T00:00:00"/>
    <m/>
    <n v="10"/>
    <x v="10"/>
    <x v="0"/>
  </r>
  <r>
    <d v="2025-11-01T00:00:00"/>
    <m/>
    <n v="11"/>
    <x v="10"/>
    <x v="0"/>
  </r>
  <r>
    <d v="2025-12-01T00:00:00"/>
    <m/>
    <n v="12"/>
    <x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A528C-E023-FD45-9251-2ED19565610D}" name="Tabella pivot2" cacheId="15" applyNumberFormats="0" applyBorderFormats="0" applyFontFormats="0" applyPatternFormats="0" applyAlignmentFormats="0" applyWidthHeightFormats="1" dataCaption="Valori" grandTotalCaption="Total" updatedVersion="8" minRefreshableVersion="3" useAutoFormatting="1" rowGrandTotals="0" colGrandTotals="0" itemPrintTitles="1" createdVersion="8" indent="0" outline="1" outlineData="1" multipleFieldFilters="0" chartFormat="9" rowHeaderCaption="Year">
  <location ref="A3:B13" firstHeaderRow="1" firstDataRow="1" firstDataCol="1"/>
  <pivotFields count="4">
    <pivotField numFmtId="14" showAll="0"/>
    <pivotField dataField="1"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h="1" x="1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um of Passengers" fld="1" baseField="0" baseItem="0"/>
  </dataFields>
  <formats count="1">
    <format dxfId="0">
      <pivotArea dataOnly="0" fieldPosition="0">
        <references count="1">
          <reference field="3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A1431-D912-C24B-8056-396A166CAAA6}" name="Tabella pivot1" cacheId="16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5">
    <pivotField numFmtId="14" showAll="0"/>
    <pivotField dataField="1" showAll="0"/>
    <pivotField showAll="0"/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t="default"/>
      </items>
    </pivotField>
    <pivotField axis="axisRow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3" hier="-1"/>
  </pageFields>
  <dataFields count="1">
    <dataField name="Sum of Passenger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5B57F7D9-A579-CA45-B1AA-0748BAA3E4A4}" autoFormatId="16" applyNumberFormats="0" applyBorderFormats="0" applyFontFormats="0" applyPatternFormats="0" applyAlignmentFormats="0" applyWidthHeightFormats="0">
  <queryTableRefresh nextId="9" unboundColumnsRight="3">
    <queryTableFields count="5">
      <queryTableField id="1" name="Date" tableColumnId="1"/>
      <queryTableField id="2" name="Passengers" tableColumnId="2"/>
      <queryTableField id="6" dataBound="0" tableColumnId="3"/>
      <queryTableField id="7" dataBound="0" tableColumnId="4"/>
      <queryTableField id="8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6634F4-9165-3742-B6E8-8D56F6CEFB4A}" name="Sheet_1" displayName="Sheet_1" ref="A1:E133" tableType="queryTable" totalsRowShown="0">
  <autoFilter ref="A1:E133" xr:uid="{D26634F4-9165-3742-B6E8-8D56F6CEFB4A}"/>
  <tableColumns count="5">
    <tableColumn id="1" xr3:uid="{3A4F1628-E680-3645-8295-20821106E7A9}" uniqueName="1" name="Date" queryTableFieldId="1" dataDxfId="2"/>
    <tableColumn id="2" xr3:uid="{FE19FC45-3155-EF4D-BF2B-D6AAB09C2E88}" uniqueName="2" name="Passengers" queryTableFieldId="2"/>
    <tableColumn id="3" xr3:uid="{D787DAA9-C05F-574D-AE0B-09788D804AEC}" uniqueName="3" name="Month" queryTableFieldId="6">
      <calculatedColumnFormula>MONTH(Sheet_1[[#This Row],[Date]])</calculatedColumnFormula>
    </tableColumn>
    <tableColumn id="4" xr3:uid="{A79AF4FA-E8AB-414D-BD12-7C0C68511780}" uniqueName="4" name="Year " queryTableFieldId="7">
      <calculatedColumnFormula>YEAR(Sheet_1[[#This Row],[Date]])</calculatedColumnFormula>
    </tableColumn>
    <tableColumn id="5" xr3:uid="{03E63611-B80B-3A42-9F0D-0B500E6A44D3}" uniqueName="5" name="Season " queryTableFieldId="8" dataDxfId="1">
      <calculatedColumnFormula>IF(AND(C2&gt;=5,C2&lt;=9),"Summer","Winter")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AFED2-C028-CC4F-B5A3-07E1DD6064E1}">
  <dimension ref="A1:F10"/>
  <sheetViews>
    <sheetView tabSelected="1" workbookViewId="0">
      <selection activeCell="N14" sqref="N14"/>
    </sheetView>
  </sheetViews>
  <sheetFormatPr baseColWidth="10" defaultRowHeight="15" x14ac:dyDescent="0.2"/>
  <cols>
    <col min="1" max="2" width="15.83203125" customWidth="1"/>
  </cols>
  <sheetData>
    <row r="1" spans="1:6" ht="19" x14ac:dyDescent="0.25">
      <c r="A1" s="13" t="s">
        <v>37</v>
      </c>
      <c r="B1" s="12"/>
      <c r="C1" s="12"/>
      <c r="D1" s="12"/>
      <c r="E1" s="12"/>
      <c r="F1" s="12"/>
    </row>
    <row r="3" spans="1:6" x14ac:dyDescent="0.2">
      <c r="A3" s="14" t="s">
        <v>31</v>
      </c>
      <c r="B3" s="17">
        <f>Analysis!B23</f>
        <v>0.16472510657219219</v>
      </c>
    </row>
    <row r="4" spans="1:6" x14ac:dyDescent="0.2">
      <c r="A4" s="14" t="s">
        <v>32</v>
      </c>
      <c r="B4" s="18">
        <f>Analysis!B24</f>
        <v>0.10070821929222995</v>
      </c>
    </row>
    <row r="5" spans="1:6" x14ac:dyDescent="0.2">
      <c r="A5" s="14" t="s">
        <v>34</v>
      </c>
      <c r="B5" s="18">
        <f>Analysis!B25</f>
        <v>0.5645009740924285</v>
      </c>
    </row>
    <row r="6" spans="1:6" x14ac:dyDescent="0.2">
      <c r="A6" s="14" t="s">
        <v>33</v>
      </c>
      <c r="B6" s="18">
        <f>Analysis!B26</f>
        <v>0.48965009417026856</v>
      </c>
    </row>
    <row r="7" spans="1:6" x14ac:dyDescent="0.2">
      <c r="A7" s="14" t="s">
        <v>11</v>
      </c>
      <c r="B7" s="19">
        <f>Traffic_Data!L7</f>
        <v>1.1905952531040143</v>
      </c>
      <c r="C7" t="s">
        <v>36</v>
      </c>
    </row>
    <row r="10" spans="1:6" x14ac:dyDescent="0.2">
      <c r="A10" s="20"/>
    </row>
  </sheetData>
  <mergeCells count="1"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034F-88F2-654F-946D-2760DC40EDFB}">
  <dimension ref="A1:L133"/>
  <sheetViews>
    <sheetView zoomScaleNormal="100" workbookViewId="0">
      <selection activeCell="J23" sqref="J23"/>
    </sheetView>
  </sheetViews>
  <sheetFormatPr baseColWidth="10" defaultRowHeight="15" x14ac:dyDescent="0.2"/>
  <cols>
    <col min="1" max="1" width="18.6640625" style="1" customWidth="1"/>
    <col min="2" max="2" width="18.5" customWidth="1"/>
    <col min="5" max="5" width="17.5" customWidth="1"/>
    <col min="11" max="11" width="19.1640625" customWidth="1"/>
    <col min="12" max="12" width="16.5" customWidth="1"/>
  </cols>
  <sheetData>
    <row r="1" spans="1:12" x14ac:dyDescent="0.2">
      <c r="A1" s="1" t="s">
        <v>0</v>
      </c>
      <c r="B1" t="s">
        <v>1</v>
      </c>
      <c r="C1" t="s">
        <v>2</v>
      </c>
      <c r="D1" t="s">
        <v>3</v>
      </c>
      <c r="E1" t="s">
        <v>16</v>
      </c>
    </row>
    <row r="2" spans="1:12" x14ac:dyDescent="0.2">
      <c r="A2" s="1">
        <v>42005</v>
      </c>
      <c r="B2">
        <v>88895</v>
      </c>
      <c r="C2">
        <f>MONTH(Sheet_1[[#This Row],[Date]])</f>
        <v>1</v>
      </c>
      <c r="D2">
        <f>YEAR(Sheet_1[[#This Row],[Date]])</f>
        <v>2015</v>
      </c>
      <c r="E2" t="str">
        <f t="shared" ref="E2:E33" si="0">IF(AND(C2&gt;=5,C2&lt;=9),"Summer","Winter")</f>
        <v>Winter</v>
      </c>
    </row>
    <row r="3" spans="1:12" x14ac:dyDescent="0.2">
      <c r="A3" s="1">
        <v>42036</v>
      </c>
      <c r="B3">
        <v>72964</v>
      </c>
      <c r="C3">
        <f>MONTH(Sheet_1[[#This Row],[Date]])</f>
        <v>2</v>
      </c>
      <c r="D3">
        <f>YEAR(Sheet_1[[#This Row],[Date]])</f>
        <v>2015</v>
      </c>
      <c r="E3" t="str">
        <f t="shared" si="0"/>
        <v>Winter</v>
      </c>
      <c r="K3" s="24" t="s">
        <v>15</v>
      </c>
      <c r="L3" s="24"/>
    </row>
    <row r="4" spans="1:12" x14ac:dyDescent="0.2">
      <c r="A4" s="1">
        <v>42064</v>
      </c>
      <c r="B4">
        <v>89135</v>
      </c>
      <c r="C4">
        <f>MONTH(Sheet_1[[#This Row],[Date]])</f>
        <v>3</v>
      </c>
      <c r="D4">
        <f>YEAR(Sheet_1[[#This Row],[Date]])</f>
        <v>2015</v>
      </c>
      <c r="E4" t="str">
        <f t="shared" si="0"/>
        <v>Winter</v>
      </c>
      <c r="K4" s="14" t="s">
        <v>7</v>
      </c>
      <c r="L4" s="14" t="s">
        <v>8</v>
      </c>
    </row>
    <row r="5" spans="1:12" x14ac:dyDescent="0.2">
      <c r="A5" s="1">
        <v>42095</v>
      </c>
      <c r="B5">
        <v>92849</v>
      </c>
      <c r="C5">
        <f>MONTH(Sheet_1[[#This Row],[Date]])</f>
        <v>4</v>
      </c>
      <c r="D5">
        <f>YEAR(Sheet_1[[#This Row],[Date]])</f>
        <v>2015</v>
      </c>
      <c r="E5" t="str">
        <f t="shared" si="0"/>
        <v>Winter</v>
      </c>
      <c r="K5" s="15" t="s">
        <v>12</v>
      </c>
      <c r="L5" s="15">
        <f>_xlfn.MAXIFS(B:B,D:D,2024)</f>
        <v>450147</v>
      </c>
    </row>
    <row r="6" spans="1:12" x14ac:dyDescent="0.2">
      <c r="A6" s="1">
        <v>42125</v>
      </c>
      <c r="B6">
        <v>93351</v>
      </c>
      <c r="C6">
        <f>MONTH(Sheet_1[[#This Row],[Date]])</f>
        <v>5</v>
      </c>
      <c r="D6">
        <f>YEAR(Sheet_1[[#This Row],[Date]])</f>
        <v>2015</v>
      </c>
      <c r="E6" t="str">
        <f t="shared" si="0"/>
        <v>Summer</v>
      </c>
      <c r="K6" s="15" t="s">
        <v>13</v>
      </c>
      <c r="L6" s="21">
        <f>AVERAGEIFS(B:B,D:D,2024)</f>
        <v>378085.66666666669</v>
      </c>
    </row>
    <row r="7" spans="1:12" x14ac:dyDescent="0.2">
      <c r="A7" s="1">
        <v>42156</v>
      </c>
      <c r="B7">
        <v>99730</v>
      </c>
      <c r="C7">
        <f>MONTH(Sheet_1[[#This Row],[Date]])</f>
        <v>6</v>
      </c>
      <c r="D7">
        <f>YEAR(Sheet_1[[#This Row],[Date]])</f>
        <v>2015</v>
      </c>
      <c r="E7" t="str">
        <f t="shared" si="0"/>
        <v>Summer</v>
      </c>
      <c r="K7" s="15" t="s">
        <v>11</v>
      </c>
      <c r="L7" s="19">
        <f>L5/L6</f>
        <v>1.1905952531040143</v>
      </c>
    </row>
    <row r="8" spans="1:12" x14ac:dyDescent="0.2">
      <c r="A8" s="1">
        <v>42186</v>
      </c>
      <c r="B8">
        <v>112469</v>
      </c>
      <c r="C8">
        <f>MONTH(Sheet_1[[#This Row],[Date]])</f>
        <v>7</v>
      </c>
      <c r="D8">
        <f>YEAR(Sheet_1[[#This Row],[Date]])</f>
        <v>2015</v>
      </c>
      <c r="E8" t="str">
        <f t="shared" si="0"/>
        <v>Summer</v>
      </c>
    </row>
    <row r="9" spans="1:12" x14ac:dyDescent="0.2">
      <c r="A9" s="1">
        <v>42217</v>
      </c>
      <c r="B9">
        <v>118598</v>
      </c>
      <c r="C9">
        <f>MONTH(Sheet_1[[#This Row],[Date]])</f>
        <v>8</v>
      </c>
      <c r="D9">
        <f>YEAR(Sheet_1[[#This Row],[Date]])</f>
        <v>2015</v>
      </c>
      <c r="E9" t="str">
        <f t="shared" si="0"/>
        <v>Summer</v>
      </c>
    </row>
    <row r="10" spans="1:12" x14ac:dyDescent="0.2">
      <c r="A10" s="1">
        <v>42248</v>
      </c>
      <c r="B10">
        <v>104207</v>
      </c>
      <c r="C10">
        <f>MONTH(Sheet_1[[#This Row],[Date]])</f>
        <v>9</v>
      </c>
      <c r="D10">
        <f>YEAR(Sheet_1[[#This Row],[Date]])</f>
        <v>2015</v>
      </c>
      <c r="E10" t="str">
        <f t="shared" si="0"/>
        <v>Summer</v>
      </c>
    </row>
    <row r="11" spans="1:12" x14ac:dyDescent="0.2">
      <c r="A11" s="1">
        <v>42278</v>
      </c>
      <c r="B11">
        <v>95996</v>
      </c>
      <c r="C11">
        <f>MONTH(Sheet_1[[#This Row],[Date]])</f>
        <v>10</v>
      </c>
      <c r="D11">
        <f>YEAR(Sheet_1[[#This Row],[Date]])</f>
        <v>2015</v>
      </c>
      <c r="E11" t="str">
        <f t="shared" si="0"/>
        <v>Winter</v>
      </c>
    </row>
    <row r="12" spans="1:12" x14ac:dyDescent="0.2">
      <c r="A12" s="1">
        <v>42309</v>
      </c>
      <c r="B12">
        <v>85187</v>
      </c>
      <c r="C12">
        <f>MONTH(Sheet_1[[#This Row],[Date]])</f>
        <v>11</v>
      </c>
      <c r="D12">
        <f>YEAR(Sheet_1[[#This Row],[Date]])</f>
        <v>2015</v>
      </c>
      <c r="E12" t="str">
        <f t="shared" si="0"/>
        <v>Winter</v>
      </c>
    </row>
    <row r="13" spans="1:12" x14ac:dyDescent="0.2">
      <c r="A13" s="1">
        <v>42339</v>
      </c>
      <c r="B13">
        <v>96785</v>
      </c>
      <c r="C13">
        <f>MONTH(Sheet_1[[#This Row],[Date]])</f>
        <v>12</v>
      </c>
      <c r="D13">
        <f>YEAR(Sheet_1[[#This Row],[Date]])</f>
        <v>2015</v>
      </c>
      <c r="E13" t="str">
        <f t="shared" si="0"/>
        <v>Winter</v>
      </c>
    </row>
    <row r="14" spans="1:12" x14ac:dyDescent="0.2">
      <c r="A14" s="1">
        <v>42370</v>
      </c>
      <c r="B14">
        <v>96524</v>
      </c>
      <c r="C14">
        <f>MONTH(Sheet_1[[#This Row],[Date]])</f>
        <v>1</v>
      </c>
      <c r="D14">
        <f>YEAR(Sheet_1[[#This Row],[Date]])</f>
        <v>2016</v>
      </c>
      <c r="E14" t="str">
        <f t="shared" si="0"/>
        <v>Winter</v>
      </c>
    </row>
    <row r="15" spans="1:12" x14ac:dyDescent="0.2">
      <c r="A15" s="1">
        <v>42401</v>
      </c>
      <c r="B15">
        <v>80193</v>
      </c>
      <c r="C15">
        <f>MONTH(Sheet_1[[#This Row],[Date]])</f>
        <v>2</v>
      </c>
      <c r="D15">
        <f>YEAR(Sheet_1[[#This Row],[Date]])</f>
        <v>2016</v>
      </c>
      <c r="E15" t="str">
        <f t="shared" si="0"/>
        <v>Winter</v>
      </c>
    </row>
    <row r="16" spans="1:12" x14ac:dyDescent="0.2">
      <c r="A16" s="1">
        <v>42430</v>
      </c>
      <c r="B16">
        <v>91940</v>
      </c>
      <c r="C16">
        <f>MONTH(Sheet_1[[#This Row],[Date]])</f>
        <v>3</v>
      </c>
      <c r="D16">
        <f>YEAR(Sheet_1[[#This Row],[Date]])</f>
        <v>2016</v>
      </c>
      <c r="E16" t="str">
        <f t="shared" si="0"/>
        <v>Winter</v>
      </c>
    </row>
    <row r="17" spans="1:5" x14ac:dyDescent="0.2">
      <c r="A17" s="1">
        <v>42461</v>
      </c>
      <c r="B17">
        <v>85444</v>
      </c>
      <c r="C17">
        <f>MONTH(Sheet_1[[#This Row],[Date]])</f>
        <v>4</v>
      </c>
      <c r="D17">
        <f>YEAR(Sheet_1[[#This Row],[Date]])</f>
        <v>2016</v>
      </c>
      <c r="E17" t="str">
        <f t="shared" si="0"/>
        <v>Winter</v>
      </c>
    </row>
    <row r="18" spans="1:5" x14ac:dyDescent="0.2">
      <c r="A18" s="1">
        <v>42491</v>
      </c>
      <c r="B18">
        <v>90510</v>
      </c>
      <c r="C18">
        <f>MONTH(Sheet_1[[#This Row],[Date]])</f>
        <v>5</v>
      </c>
      <c r="D18">
        <f>YEAR(Sheet_1[[#This Row],[Date]])</f>
        <v>2016</v>
      </c>
      <c r="E18" t="str">
        <f t="shared" si="0"/>
        <v>Summer</v>
      </c>
    </row>
    <row r="19" spans="1:5" x14ac:dyDescent="0.2">
      <c r="A19" s="1">
        <v>42522</v>
      </c>
      <c r="B19">
        <v>92973</v>
      </c>
      <c r="C19">
        <f>MONTH(Sheet_1[[#This Row],[Date]])</f>
        <v>6</v>
      </c>
      <c r="D19">
        <f>YEAR(Sheet_1[[#This Row],[Date]])</f>
        <v>2016</v>
      </c>
      <c r="E19" t="str">
        <f t="shared" si="0"/>
        <v>Summer</v>
      </c>
    </row>
    <row r="20" spans="1:5" x14ac:dyDescent="0.2">
      <c r="A20" s="1">
        <v>42552</v>
      </c>
      <c r="B20">
        <v>104516</v>
      </c>
      <c r="C20">
        <f>MONTH(Sheet_1[[#This Row],[Date]])</f>
        <v>7</v>
      </c>
      <c r="D20">
        <f>YEAR(Sheet_1[[#This Row],[Date]])</f>
        <v>2016</v>
      </c>
      <c r="E20" t="str">
        <f t="shared" si="0"/>
        <v>Summer</v>
      </c>
    </row>
    <row r="21" spans="1:5" x14ac:dyDescent="0.2">
      <c r="A21" s="1">
        <v>42583</v>
      </c>
      <c r="B21">
        <v>122734</v>
      </c>
      <c r="C21">
        <f>MONTH(Sheet_1[[#This Row],[Date]])</f>
        <v>8</v>
      </c>
      <c r="D21">
        <f>YEAR(Sheet_1[[#This Row],[Date]])</f>
        <v>2016</v>
      </c>
      <c r="E21" t="str">
        <f t="shared" si="0"/>
        <v>Summer</v>
      </c>
    </row>
    <row r="22" spans="1:5" x14ac:dyDescent="0.2">
      <c r="A22" s="1">
        <v>42614</v>
      </c>
      <c r="B22">
        <v>112644</v>
      </c>
      <c r="C22">
        <f>MONTH(Sheet_1[[#This Row],[Date]])</f>
        <v>9</v>
      </c>
      <c r="D22">
        <f>YEAR(Sheet_1[[#This Row],[Date]])</f>
        <v>2016</v>
      </c>
      <c r="E22" t="str">
        <f t="shared" si="0"/>
        <v>Summer</v>
      </c>
    </row>
    <row r="23" spans="1:5" x14ac:dyDescent="0.2">
      <c r="A23" s="1">
        <v>42644</v>
      </c>
      <c r="B23">
        <v>125976</v>
      </c>
      <c r="C23">
        <f>MONTH(Sheet_1[[#This Row],[Date]])</f>
        <v>10</v>
      </c>
      <c r="D23">
        <f>YEAR(Sheet_1[[#This Row],[Date]])</f>
        <v>2016</v>
      </c>
      <c r="E23" t="str">
        <f t="shared" si="0"/>
        <v>Winter</v>
      </c>
    </row>
    <row r="24" spans="1:5" x14ac:dyDescent="0.2">
      <c r="A24" s="1">
        <v>42675</v>
      </c>
      <c r="B24">
        <v>116210</v>
      </c>
      <c r="C24">
        <f>MONTH(Sheet_1[[#This Row],[Date]])</f>
        <v>11</v>
      </c>
      <c r="D24">
        <f>YEAR(Sheet_1[[#This Row],[Date]])</f>
        <v>2016</v>
      </c>
      <c r="E24" t="str">
        <f t="shared" si="0"/>
        <v>Winter</v>
      </c>
    </row>
    <row r="25" spans="1:5" x14ac:dyDescent="0.2">
      <c r="A25" s="1">
        <v>42705</v>
      </c>
      <c r="B25">
        <v>144691</v>
      </c>
      <c r="C25">
        <f>MONTH(Sheet_1[[#This Row],[Date]])</f>
        <v>12</v>
      </c>
      <c r="D25">
        <f>YEAR(Sheet_1[[#This Row],[Date]])</f>
        <v>2016</v>
      </c>
      <c r="E25" t="str">
        <f t="shared" si="0"/>
        <v>Winter</v>
      </c>
    </row>
    <row r="26" spans="1:5" x14ac:dyDescent="0.2">
      <c r="A26" s="1">
        <v>42736</v>
      </c>
      <c r="B26">
        <v>132108</v>
      </c>
      <c r="C26">
        <f>MONTH(Sheet_1[[#This Row],[Date]])</f>
        <v>1</v>
      </c>
      <c r="D26">
        <f>YEAR(Sheet_1[[#This Row],[Date]])</f>
        <v>2017</v>
      </c>
      <c r="E26" t="str">
        <f t="shared" si="0"/>
        <v>Winter</v>
      </c>
    </row>
    <row r="27" spans="1:5" x14ac:dyDescent="0.2">
      <c r="A27" s="1">
        <v>42767</v>
      </c>
      <c r="B27">
        <v>88704</v>
      </c>
      <c r="C27">
        <f>MONTH(Sheet_1[[#This Row],[Date]])</f>
        <v>2</v>
      </c>
      <c r="D27">
        <f>YEAR(Sheet_1[[#This Row],[Date]])</f>
        <v>2017</v>
      </c>
      <c r="E27" t="str">
        <f t="shared" si="0"/>
        <v>Winter</v>
      </c>
    </row>
    <row r="28" spans="1:5" x14ac:dyDescent="0.2">
      <c r="A28" s="1">
        <v>42795</v>
      </c>
      <c r="B28">
        <v>109899</v>
      </c>
      <c r="C28">
        <f>MONTH(Sheet_1[[#This Row],[Date]])</f>
        <v>3</v>
      </c>
      <c r="D28">
        <f>YEAR(Sheet_1[[#This Row],[Date]])</f>
        <v>2017</v>
      </c>
      <c r="E28" t="str">
        <f t="shared" si="0"/>
        <v>Winter</v>
      </c>
    </row>
    <row r="29" spans="1:5" x14ac:dyDescent="0.2">
      <c r="A29" s="1">
        <v>42826</v>
      </c>
      <c r="B29">
        <v>114811</v>
      </c>
      <c r="C29">
        <f>MONTH(Sheet_1[[#This Row],[Date]])</f>
        <v>4</v>
      </c>
      <c r="D29">
        <f>YEAR(Sheet_1[[#This Row],[Date]])</f>
        <v>2017</v>
      </c>
      <c r="E29" t="str">
        <f t="shared" si="0"/>
        <v>Winter</v>
      </c>
    </row>
    <row r="30" spans="1:5" x14ac:dyDescent="0.2">
      <c r="A30" s="1">
        <v>42856</v>
      </c>
      <c r="B30">
        <v>107731</v>
      </c>
      <c r="C30">
        <f>MONTH(Sheet_1[[#This Row],[Date]])</f>
        <v>5</v>
      </c>
      <c r="D30">
        <f>YEAR(Sheet_1[[#This Row],[Date]])</f>
        <v>2017</v>
      </c>
      <c r="E30" t="str">
        <f t="shared" si="0"/>
        <v>Summer</v>
      </c>
    </row>
    <row r="31" spans="1:5" x14ac:dyDescent="0.2">
      <c r="A31" s="1">
        <v>42887</v>
      </c>
      <c r="B31">
        <v>122451</v>
      </c>
      <c r="C31">
        <f>MONTH(Sheet_1[[#This Row],[Date]])</f>
        <v>6</v>
      </c>
      <c r="D31">
        <f>YEAR(Sheet_1[[#This Row],[Date]])</f>
        <v>2017</v>
      </c>
      <c r="E31" t="str">
        <f t="shared" si="0"/>
        <v>Summer</v>
      </c>
    </row>
    <row r="32" spans="1:5" x14ac:dyDescent="0.2">
      <c r="A32" s="1">
        <v>42917</v>
      </c>
      <c r="B32">
        <v>142110</v>
      </c>
      <c r="C32">
        <f>MONTH(Sheet_1[[#This Row],[Date]])</f>
        <v>7</v>
      </c>
      <c r="D32">
        <f>YEAR(Sheet_1[[#This Row],[Date]])</f>
        <v>2017</v>
      </c>
      <c r="E32" t="str">
        <f t="shared" si="0"/>
        <v>Summer</v>
      </c>
    </row>
    <row r="33" spans="1:5" x14ac:dyDescent="0.2">
      <c r="A33" s="1">
        <v>42948</v>
      </c>
      <c r="B33">
        <v>155475</v>
      </c>
      <c r="C33">
        <f>MONTH(Sheet_1[[#This Row],[Date]])</f>
        <v>8</v>
      </c>
      <c r="D33">
        <f>YEAR(Sheet_1[[#This Row],[Date]])</f>
        <v>2017</v>
      </c>
      <c r="E33" t="str">
        <f t="shared" si="0"/>
        <v>Summer</v>
      </c>
    </row>
    <row r="34" spans="1:5" x14ac:dyDescent="0.2">
      <c r="A34" s="1">
        <v>42979</v>
      </c>
      <c r="B34">
        <v>137397</v>
      </c>
      <c r="C34">
        <f>MONTH(Sheet_1[[#This Row],[Date]])</f>
        <v>9</v>
      </c>
      <c r="D34">
        <f>YEAR(Sheet_1[[#This Row],[Date]])</f>
        <v>2017</v>
      </c>
      <c r="E34" t="str">
        <f t="shared" ref="E34:E65" si="1">IF(AND(C34&gt;=5,C34&lt;=9),"Summer","Winter")</f>
        <v>Summer</v>
      </c>
    </row>
    <row r="35" spans="1:5" x14ac:dyDescent="0.2">
      <c r="A35" s="1">
        <v>43009</v>
      </c>
      <c r="B35">
        <v>126183</v>
      </c>
      <c r="C35">
        <f>MONTH(Sheet_1[[#This Row],[Date]])</f>
        <v>10</v>
      </c>
      <c r="D35">
        <f>YEAR(Sheet_1[[#This Row],[Date]])</f>
        <v>2017</v>
      </c>
      <c r="E35" t="str">
        <f t="shared" si="1"/>
        <v>Winter</v>
      </c>
    </row>
    <row r="36" spans="1:5" x14ac:dyDescent="0.2">
      <c r="A36" s="1">
        <v>43040</v>
      </c>
      <c r="B36">
        <v>111909</v>
      </c>
      <c r="C36">
        <f>MONTH(Sheet_1[[#This Row],[Date]])</f>
        <v>11</v>
      </c>
      <c r="D36">
        <f>YEAR(Sheet_1[[#This Row],[Date]])</f>
        <v>2017</v>
      </c>
      <c r="E36" t="str">
        <f t="shared" si="1"/>
        <v>Winter</v>
      </c>
    </row>
    <row r="37" spans="1:5" x14ac:dyDescent="0.2">
      <c r="A37" s="1">
        <v>43070</v>
      </c>
      <c r="B37">
        <v>145068</v>
      </c>
      <c r="C37">
        <f>MONTH(Sheet_1[[#This Row],[Date]])</f>
        <v>12</v>
      </c>
      <c r="D37">
        <f>YEAR(Sheet_1[[#This Row],[Date]])</f>
        <v>2017</v>
      </c>
      <c r="E37" t="str">
        <f t="shared" si="1"/>
        <v>Winter</v>
      </c>
    </row>
    <row r="38" spans="1:5" x14ac:dyDescent="0.2">
      <c r="A38" s="1">
        <v>43101</v>
      </c>
      <c r="B38">
        <v>141895</v>
      </c>
      <c r="C38">
        <f>MONTH(Sheet_1[[#This Row],[Date]])</f>
        <v>1</v>
      </c>
      <c r="D38">
        <f>YEAR(Sheet_1[[#This Row],[Date]])</f>
        <v>2018</v>
      </c>
      <c r="E38" t="str">
        <f t="shared" si="1"/>
        <v>Winter</v>
      </c>
    </row>
    <row r="39" spans="1:5" x14ac:dyDescent="0.2">
      <c r="A39" s="1">
        <v>43132</v>
      </c>
      <c r="B39">
        <v>94344</v>
      </c>
      <c r="C39">
        <f>MONTH(Sheet_1[[#This Row],[Date]])</f>
        <v>2</v>
      </c>
      <c r="D39">
        <f>YEAR(Sheet_1[[#This Row],[Date]])</f>
        <v>2018</v>
      </c>
      <c r="E39" t="str">
        <f t="shared" si="1"/>
        <v>Winter</v>
      </c>
    </row>
    <row r="40" spans="1:5" x14ac:dyDescent="0.2">
      <c r="A40" s="1">
        <v>43160</v>
      </c>
      <c r="B40">
        <v>115105</v>
      </c>
      <c r="C40">
        <f>MONTH(Sheet_1[[#This Row],[Date]])</f>
        <v>3</v>
      </c>
      <c r="D40">
        <f>YEAR(Sheet_1[[#This Row],[Date]])</f>
        <v>2018</v>
      </c>
      <c r="E40" t="str">
        <f t="shared" si="1"/>
        <v>Winter</v>
      </c>
    </row>
    <row r="41" spans="1:5" x14ac:dyDescent="0.2">
      <c r="A41" s="1">
        <v>43191</v>
      </c>
      <c r="B41">
        <v>126481</v>
      </c>
      <c r="C41">
        <f>MONTH(Sheet_1[[#This Row],[Date]])</f>
        <v>4</v>
      </c>
      <c r="D41">
        <f>YEAR(Sheet_1[[#This Row],[Date]])</f>
        <v>2018</v>
      </c>
      <c r="E41" t="str">
        <f t="shared" si="1"/>
        <v>Winter</v>
      </c>
    </row>
    <row r="42" spans="1:5" x14ac:dyDescent="0.2">
      <c r="A42" s="1">
        <v>43221</v>
      </c>
      <c r="B42">
        <v>118447</v>
      </c>
      <c r="C42">
        <f>MONTH(Sheet_1[[#This Row],[Date]])</f>
        <v>5</v>
      </c>
      <c r="D42">
        <f>YEAR(Sheet_1[[#This Row],[Date]])</f>
        <v>2018</v>
      </c>
      <c r="E42" t="str">
        <f t="shared" si="1"/>
        <v>Summer</v>
      </c>
    </row>
    <row r="43" spans="1:5" x14ac:dyDescent="0.2">
      <c r="A43" s="1">
        <v>43252</v>
      </c>
      <c r="B43">
        <v>129922</v>
      </c>
      <c r="C43">
        <f>MONTH(Sheet_1[[#This Row],[Date]])</f>
        <v>6</v>
      </c>
      <c r="D43">
        <f>YEAR(Sheet_1[[#This Row],[Date]])</f>
        <v>2018</v>
      </c>
      <c r="E43" t="str">
        <f t="shared" si="1"/>
        <v>Summer</v>
      </c>
    </row>
    <row r="44" spans="1:5" x14ac:dyDescent="0.2">
      <c r="A44" s="1">
        <v>43282</v>
      </c>
      <c r="B44">
        <v>152699</v>
      </c>
      <c r="C44">
        <f>MONTH(Sheet_1[[#This Row],[Date]])</f>
        <v>7</v>
      </c>
      <c r="D44">
        <f>YEAR(Sheet_1[[#This Row],[Date]])</f>
        <v>2018</v>
      </c>
      <c r="E44" t="str">
        <f t="shared" si="1"/>
        <v>Summer</v>
      </c>
    </row>
    <row r="45" spans="1:5" x14ac:dyDescent="0.2">
      <c r="A45" s="1">
        <v>43313</v>
      </c>
      <c r="B45">
        <v>170682</v>
      </c>
      <c r="C45">
        <f>MONTH(Sheet_1[[#This Row],[Date]])</f>
        <v>8</v>
      </c>
      <c r="D45">
        <f>YEAR(Sheet_1[[#This Row],[Date]])</f>
        <v>2018</v>
      </c>
      <c r="E45" t="str">
        <f t="shared" si="1"/>
        <v>Summer</v>
      </c>
    </row>
    <row r="46" spans="1:5" x14ac:dyDescent="0.2">
      <c r="A46" s="1">
        <v>43344</v>
      </c>
      <c r="B46">
        <v>142722</v>
      </c>
      <c r="C46">
        <f>MONTH(Sheet_1[[#This Row],[Date]])</f>
        <v>9</v>
      </c>
      <c r="D46">
        <f>YEAR(Sheet_1[[#This Row],[Date]])</f>
        <v>2018</v>
      </c>
      <c r="E46" t="str">
        <f t="shared" si="1"/>
        <v>Summer</v>
      </c>
    </row>
    <row r="47" spans="1:5" x14ac:dyDescent="0.2">
      <c r="A47" s="1">
        <v>43374</v>
      </c>
      <c r="B47">
        <v>125178</v>
      </c>
      <c r="C47">
        <f>MONTH(Sheet_1[[#This Row],[Date]])</f>
        <v>10</v>
      </c>
      <c r="D47">
        <f>YEAR(Sheet_1[[#This Row],[Date]])</f>
        <v>2018</v>
      </c>
      <c r="E47" t="str">
        <f t="shared" si="1"/>
        <v>Winter</v>
      </c>
    </row>
    <row r="48" spans="1:5" x14ac:dyDescent="0.2">
      <c r="A48" s="1">
        <v>43405</v>
      </c>
      <c r="B48">
        <v>116225</v>
      </c>
      <c r="C48">
        <f>MONTH(Sheet_1[[#This Row],[Date]])</f>
        <v>11</v>
      </c>
      <c r="D48">
        <f>YEAR(Sheet_1[[#This Row],[Date]])</f>
        <v>2018</v>
      </c>
      <c r="E48" t="str">
        <f t="shared" si="1"/>
        <v>Winter</v>
      </c>
    </row>
    <row r="49" spans="1:5" x14ac:dyDescent="0.2">
      <c r="A49" s="1">
        <v>43435</v>
      </c>
      <c r="B49">
        <v>138662</v>
      </c>
      <c r="C49">
        <f>MONTH(Sheet_1[[#This Row],[Date]])</f>
        <v>12</v>
      </c>
      <c r="D49">
        <f>YEAR(Sheet_1[[#This Row],[Date]])</f>
        <v>2018</v>
      </c>
      <c r="E49" t="str">
        <f t="shared" si="1"/>
        <v>Winter</v>
      </c>
    </row>
    <row r="50" spans="1:5" x14ac:dyDescent="0.2">
      <c r="A50" s="1">
        <v>43466</v>
      </c>
      <c r="B50">
        <v>139649</v>
      </c>
      <c r="C50">
        <f>MONTH(Sheet_1[[#This Row],[Date]])</f>
        <v>1</v>
      </c>
      <c r="D50">
        <f>YEAR(Sheet_1[[#This Row],[Date]])</f>
        <v>2019</v>
      </c>
      <c r="E50" t="str">
        <f t="shared" si="1"/>
        <v>Winter</v>
      </c>
    </row>
    <row r="51" spans="1:5" x14ac:dyDescent="0.2">
      <c r="A51" s="1">
        <v>43497</v>
      </c>
      <c r="B51">
        <v>105094</v>
      </c>
      <c r="C51">
        <f>MONTH(Sheet_1[[#This Row],[Date]])</f>
        <v>2</v>
      </c>
      <c r="D51">
        <f>YEAR(Sheet_1[[#This Row],[Date]])</f>
        <v>2019</v>
      </c>
      <c r="E51" t="str">
        <f t="shared" si="1"/>
        <v>Winter</v>
      </c>
    </row>
    <row r="52" spans="1:5" x14ac:dyDescent="0.2">
      <c r="A52" s="1">
        <v>43525</v>
      </c>
      <c r="B52">
        <v>121201</v>
      </c>
      <c r="C52">
        <f>MONTH(Sheet_1[[#This Row],[Date]])</f>
        <v>3</v>
      </c>
      <c r="D52">
        <f>YEAR(Sheet_1[[#This Row],[Date]])</f>
        <v>2019</v>
      </c>
      <c r="E52" t="str">
        <f t="shared" si="1"/>
        <v>Winter</v>
      </c>
    </row>
    <row r="53" spans="1:5" x14ac:dyDescent="0.2">
      <c r="A53" s="1">
        <v>43556</v>
      </c>
      <c r="B53">
        <v>132740</v>
      </c>
      <c r="C53">
        <f>MONTH(Sheet_1[[#This Row],[Date]])</f>
        <v>4</v>
      </c>
      <c r="D53">
        <f>YEAR(Sheet_1[[#This Row],[Date]])</f>
        <v>2019</v>
      </c>
      <c r="E53" t="str">
        <f t="shared" si="1"/>
        <v>Winter</v>
      </c>
    </row>
    <row r="54" spans="1:5" x14ac:dyDescent="0.2">
      <c r="A54" s="1">
        <v>43586</v>
      </c>
      <c r="B54">
        <v>124430</v>
      </c>
      <c r="C54">
        <f>MONTH(Sheet_1[[#This Row],[Date]])</f>
        <v>5</v>
      </c>
      <c r="D54">
        <f>YEAR(Sheet_1[[#This Row],[Date]])</f>
        <v>2019</v>
      </c>
      <c r="E54" t="str">
        <f t="shared" si="1"/>
        <v>Summer</v>
      </c>
    </row>
    <row r="55" spans="1:5" x14ac:dyDescent="0.2">
      <c r="A55" s="1">
        <v>43617</v>
      </c>
      <c r="B55">
        <v>137705</v>
      </c>
      <c r="C55">
        <f>MONTH(Sheet_1[[#This Row],[Date]])</f>
        <v>6</v>
      </c>
      <c r="D55">
        <f>YEAR(Sheet_1[[#This Row],[Date]])</f>
        <v>2019</v>
      </c>
      <c r="E55" t="str">
        <f t="shared" si="1"/>
        <v>Summer</v>
      </c>
    </row>
    <row r="56" spans="1:5" x14ac:dyDescent="0.2">
      <c r="A56" s="1">
        <v>43647</v>
      </c>
      <c r="B56">
        <v>161256</v>
      </c>
      <c r="C56">
        <f>MONTH(Sheet_1[[#This Row],[Date]])</f>
        <v>7</v>
      </c>
      <c r="D56">
        <f>YEAR(Sheet_1[[#This Row],[Date]])</f>
        <v>2019</v>
      </c>
      <c r="E56" t="str">
        <f t="shared" si="1"/>
        <v>Summer</v>
      </c>
    </row>
    <row r="57" spans="1:5" x14ac:dyDescent="0.2">
      <c r="A57" s="1">
        <v>43678</v>
      </c>
      <c r="B57">
        <v>180634</v>
      </c>
      <c r="C57">
        <f>MONTH(Sheet_1[[#This Row],[Date]])</f>
        <v>8</v>
      </c>
      <c r="D57">
        <f>YEAR(Sheet_1[[#This Row],[Date]])</f>
        <v>2019</v>
      </c>
      <c r="E57" t="str">
        <f t="shared" si="1"/>
        <v>Summer</v>
      </c>
    </row>
    <row r="58" spans="1:5" x14ac:dyDescent="0.2">
      <c r="A58" s="1">
        <v>43709</v>
      </c>
      <c r="B58">
        <v>153112</v>
      </c>
      <c r="C58">
        <f>MONTH(Sheet_1[[#This Row],[Date]])</f>
        <v>9</v>
      </c>
      <c r="D58">
        <f>YEAR(Sheet_1[[#This Row],[Date]])</f>
        <v>2019</v>
      </c>
      <c r="E58" t="str">
        <f t="shared" si="1"/>
        <v>Summer</v>
      </c>
    </row>
    <row r="59" spans="1:5" x14ac:dyDescent="0.2">
      <c r="A59" s="1">
        <v>43739</v>
      </c>
      <c r="B59">
        <v>141712</v>
      </c>
      <c r="C59">
        <f>MONTH(Sheet_1[[#This Row],[Date]])</f>
        <v>10</v>
      </c>
      <c r="D59">
        <f>YEAR(Sheet_1[[#This Row],[Date]])</f>
        <v>2019</v>
      </c>
      <c r="E59" t="str">
        <f t="shared" si="1"/>
        <v>Winter</v>
      </c>
    </row>
    <row r="60" spans="1:5" x14ac:dyDescent="0.2">
      <c r="A60" s="1">
        <v>43770</v>
      </c>
      <c r="B60">
        <v>130155</v>
      </c>
      <c r="C60">
        <f>MONTH(Sheet_1[[#This Row],[Date]])</f>
        <v>11</v>
      </c>
      <c r="D60">
        <f>YEAR(Sheet_1[[#This Row],[Date]])</f>
        <v>2019</v>
      </c>
      <c r="E60" t="str">
        <f t="shared" si="1"/>
        <v>Winter</v>
      </c>
    </row>
    <row r="61" spans="1:5" x14ac:dyDescent="0.2">
      <c r="A61" s="1">
        <v>43800</v>
      </c>
      <c r="B61">
        <v>160611</v>
      </c>
      <c r="C61">
        <f>MONTH(Sheet_1[[#This Row],[Date]])</f>
        <v>12</v>
      </c>
      <c r="D61">
        <f>YEAR(Sheet_1[[#This Row],[Date]])</f>
        <v>2019</v>
      </c>
      <c r="E61" t="str">
        <f t="shared" si="1"/>
        <v>Winter</v>
      </c>
    </row>
    <row r="62" spans="1:5" x14ac:dyDescent="0.2">
      <c r="A62" s="1">
        <v>43831</v>
      </c>
      <c r="B62">
        <v>138736</v>
      </c>
      <c r="C62">
        <f>MONTH(Sheet_1[[#This Row],[Date]])</f>
        <v>1</v>
      </c>
      <c r="D62">
        <f>YEAR(Sheet_1[[#This Row],[Date]])</f>
        <v>2020</v>
      </c>
      <c r="E62" t="str">
        <f t="shared" si="1"/>
        <v>Winter</v>
      </c>
    </row>
    <row r="63" spans="1:5" x14ac:dyDescent="0.2">
      <c r="A63" s="1">
        <v>43862</v>
      </c>
      <c r="B63">
        <v>98015</v>
      </c>
      <c r="C63">
        <f>MONTH(Sheet_1[[#This Row],[Date]])</f>
        <v>2</v>
      </c>
      <c r="D63">
        <f>YEAR(Sheet_1[[#This Row],[Date]])</f>
        <v>2020</v>
      </c>
      <c r="E63" t="str">
        <f t="shared" si="1"/>
        <v>Winter</v>
      </c>
    </row>
    <row r="64" spans="1:5" x14ac:dyDescent="0.2">
      <c r="A64" s="1">
        <v>43891</v>
      </c>
      <c r="B64">
        <v>24072</v>
      </c>
      <c r="C64">
        <f>MONTH(Sheet_1[[#This Row],[Date]])</f>
        <v>3</v>
      </c>
      <c r="D64">
        <f>YEAR(Sheet_1[[#This Row],[Date]])</f>
        <v>2020</v>
      </c>
      <c r="E64" t="str">
        <f t="shared" si="1"/>
        <v>Winter</v>
      </c>
    </row>
    <row r="65" spans="1:5" x14ac:dyDescent="0.2">
      <c r="A65" s="1">
        <v>43922</v>
      </c>
      <c r="B65">
        <v>434</v>
      </c>
      <c r="C65">
        <f>MONTH(Sheet_1[[#This Row],[Date]])</f>
        <v>4</v>
      </c>
      <c r="D65">
        <f>YEAR(Sheet_1[[#This Row],[Date]])</f>
        <v>2020</v>
      </c>
      <c r="E65" t="str">
        <f t="shared" si="1"/>
        <v>Winter</v>
      </c>
    </row>
    <row r="66" spans="1:5" x14ac:dyDescent="0.2">
      <c r="A66" s="1">
        <v>43952</v>
      </c>
      <c r="B66">
        <v>1</v>
      </c>
      <c r="C66">
        <f>MONTH(Sheet_1[[#This Row],[Date]])</f>
        <v>5</v>
      </c>
      <c r="D66">
        <f>YEAR(Sheet_1[[#This Row],[Date]])</f>
        <v>2020</v>
      </c>
      <c r="E66" t="str">
        <f t="shared" ref="E66:E97" si="2">IF(AND(C66&gt;=5,C66&lt;=9),"Summer","Winter")</f>
        <v>Summer</v>
      </c>
    </row>
    <row r="67" spans="1:5" x14ac:dyDescent="0.2">
      <c r="A67" s="1">
        <v>43983</v>
      </c>
      <c r="B67">
        <v>8903</v>
      </c>
      <c r="C67">
        <f>MONTH(Sheet_1[[#This Row],[Date]])</f>
        <v>6</v>
      </c>
      <c r="D67">
        <f>YEAR(Sheet_1[[#This Row],[Date]])</f>
        <v>2020</v>
      </c>
      <c r="E67" t="str">
        <f t="shared" si="2"/>
        <v>Summer</v>
      </c>
    </row>
    <row r="68" spans="1:5" x14ac:dyDescent="0.2">
      <c r="A68" s="1">
        <v>44013</v>
      </c>
      <c r="B68">
        <v>64254</v>
      </c>
      <c r="C68">
        <f>MONTH(Sheet_1[[#This Row],[Date]])</f>
        <v>7</v>
      </c>
      <c r="D68">
        <f>YEAR(Sheet_1[[#This Row],[Date]])</f>
        <v>2020</v>
      </c>
      <c r="E68" t="str">
        <f t="shared" si="2"/>
        <v>Summer</v>
      </c>
    </row>
    <row r="69" spans="1:5" x14ac:dyDescent="0.2">
      <c r="A69" s="1">
        <v>44044</v>
      </c>
      <c r="B69">
        <v>84518</v>
      </c>
      <c r="C69">
        <f>MONTH(Sheet_1[[#This Row],[Date]])</f>
        <v>8</v>
      </c>
      <c r="D69">
        <f>YEAR(Sheet_1[[#This Row],[Date]])</f>
        <v>2020</v>
      </c>
      <c r="E69" t="str">
        <f t="shared" si="2"/>
        <v>Summer</v>
      </c>
    </row>
    <row r="70" spans="1:5" x14ac:dyDescent="0.2">
      <c r="A70" s="1">
        <v>44075</v>
      </c>
      <c r="B70">
        <v>52723</v>
      </c>
      <c r="C70">
        <f>MONTH(Sheet_1[[#This Row],[Date]])</f>
        <v>9</v>
      </c>
      <c r="D70">
        <f>YEAR(Sheet_1[[#This Row],[Date]])</f>
        <v>2020</v>
      </c>
      <c r="E70" t="str">
        <f t="shared" si="2"/>
        <v>Summer</v>
      </c>
    </row>
    <row r="71" spans="1:5" x14ac:dyDescent="0.2">
      <c r="A71" s="1">
        <v>44105</v>
      </c>
      <c r="B71">
        <v>51100</v>
      </c>
      <c r="C71">
        <f>MONTH(Sheet_1[[#This Row],[Date]])</f>
        <v>10</v>
      </c>
      <c r="D71">
        <f>YEAR(Sheet_1[[#This Row],[Date]])</f>
        <v>2020</v>
      </c>
      <c r="E71" t="str">
        <f t="shared" si="2"/>
        <v>Winter</v>
      </c>
    </row>
    <row r="72" spans="1:5" x14ac:dyDescent="0.2">
      <c r="A72" s="1">
        <v>44136</v>
      </c>
      <c r="B72">
        <v>28032</v>
      </c>
      <c r="C72">
        <f>MONTH(Sheet_1[[#This Row],[Date]])</f>
        <v>11</v>
      </c>
      <c r="D72">
        <f>YEAR(Sheet_1[[#This Row],[Date]])</f>
        <v>2020</v>
      </c>
      <c r="E72" t="str">
        <f t="shared" si="2"/>
        <v>Winter</v>
      </c>
    </row>
    <row r="73" spans="1:5" x14ac:dyDescent="0.2">
      <c r="A73" s="1">
        <v>44166</v>
      </c>
      <c r="B73">
        <v>32751</v>
      </c>
      <c r="C73">
        <f>MONTH(Sheet_1[[#This Row],[Date]])</f>
        <v>12</v>
      </c>
      <c r="D73">
        <f>YEAR(Sheet_1[[#This Row],[Date]])</f>
        <v>2020</v>
      </c>
      <c r="E73" t="str">
        <f t="shared" si="2"/>
        <v>Winter</v>
      </c>
    </row>
    <row r="74" spans="1:5" x14ac:dyDescent="0.2">
      <c r="A74" s="1">
        <v>44197</v>
      </c>
      <c r="B74">
        <v>41247</v>
      </c>
      <c r="C74">
        <f>MONTH(Sheet_1[[#This Row],[Date]])</f>
        <v>1</v>
      </c>
      <c r="D74">
        <f>YEAR(Sheet_1[[#This Row],[Date]])</f>
        <v>2021</v>
      </c>
      <c r="E74" t="str">
        <f t="shared" si="2"/>
        <v>Winter</v>
      </c>
    </row>
    <row r="75" spans="1:5" x14ac:dyDescent="0.2">
      <c r="A75" s="1">
        <v>44228</v>
      </c>
      <c r="B75">
        <v>38245</v>
      </c>
      <c r="C75">
        <f>MONTH(Sheet_1[[#This Row],[Date]])</f>
        <v>2</v>
      </c>
      <c r="D75">
        <f>YEAR(Sheet_1[[#This Row],[Date]])</f>
        <v>2021</v>
      </c>
      <c r="E75" t="str">
        <f t="shared" si="2"/>
        <v>Winter</v>
      </c>
    </row>
    <row r="76" spans="1:5" x14ac:dyDescent="0.2">
      <c r="A76" s="1">
        <v>44256</v>
      </c>
      <c r="B76">
        <v>41099</v>
      </c>
      <c r="C76">
        <f>MONTH(Sheet_1[[#This Row],[Date]])</f>
        <v>3</v>
      </c>
      <c r="D76">
        <f>YEAR(Sheet_1[[#This Row],[Date]])</f>
        <v>2021</v>
      </c>
      <c r="E76" t="str">
        <f t="shared" si="2"/>
        <v>Winter</v>
      </c>
    </row>
    <row r="77" spans="1:5" x14ac:dyDescent="0.2">
      <c r="A77" s="1">
        <v>44287</v>
      </c>
      <c r="B77">
        <v>50544</v>
      </c>
      <c r="C77">
        <f>MONTH(Sheet_1[[#This Row],[Date]])</f>
        <v>4</v>
      </c>
      <c r="D77">
        <f>YEAR(Sheet_1[[#This Row],[Date]])</f>
        <v>2021</v>
      </c>
      <c r="E77" t="str">
        <f t="shared" si="2"/>
        <v>Winter</v>
      </c>
    </row>
    <row r="78" spans="1:5" x14ac:dyDescent="0.2">
      <c r="A78" s="1">
        <v>44317</v>
      </c>
      <c r="B78">
        <v>64112</v>
      </c>
      <c r="C78">
        <f>MONTH(Sheet_1[[#This Row],[Date]])</f>
        <v>5</v>
      </c>
      <c r="D78">
        <f>YEAR(Sheet_1[[#This Row],[Date]])</f>
        <v>2021</v>
      </c>
      <c r="E78" t="str">
        <f t="shared" si="2"/>
        <v>Summer</v>
      </c>
    </row>
    <row r="79" spans="1:5" x14ac:dyDescent="0.2">
      <c r="A79" s="1">
        <v>44348</v>
      </c>
      <c r="B79">
        <v>98468</v>
      </c>
      <c r="C79">
        <f>MONTH(Sheet_1[[#This Row],[Date]])</f>
        <v>6</v>
      </c>
      <c r="D79">
        <f>YEAR(Sheet_1[[#This Row],[Date]])</f>
        <v>2021</v>
      </c>
      <c r="E79" t="str">
        <f t="shared" si="2"/>
        <v>Summer</v>
      </c>
    </row>
    <row r="80" spans="1:5" x14ac:dyDescent="0.2">
      <c r="A80" s="1">
        <v>44378</v>
      </c>
      <c r="B80">
        <v>148013</v>
      </c>
      <c r="C80">
        <f>MONTH(Sheet_1[[#This Row],[Date]])</f>
        <v>7</v>
      </c>
      <c r="D80">
        <f>YEAR(Sheet_1[[#This Row],[Date]])</f>
        <v>2021</v>
      </c>
      <c r="E80" t="str">
        <f t="shared" si="2"/>
        <v>Summer</v>
      </c>
    </row>
    <row r="81" spans="1:5" x14ac:dyDescent="0.2">
      <c r="A81" s="1">
        <v>44409</v>
      </c>
      <c r="B81">
        <v>206686</v>
      </c>
      <c r="C81">
        <f>MONTH(Sheet_1[[#This Row],[Date]])</f>
        <v>8</v>
      </c>
      <c r="D81">
        <f>YEAR(Sheet_1[[#This Row],[Date]])</f>
        <v>2021</v>
      </c>
      <c r="E81" t="str">
        <f t="shared" si="2"/>
        <v>Summer</v>
      </c>
    </row>
    <row r="82" spans="1:5" x14ac:dyDescent="0.2">
      <c r="A82" s="1">
        <v>44440</v>
      </c>
      <c r="B82">
        <v>146692</v>
      </c>
      <c r="C82">
        <f>MONTH(Sheet_1[[#This Row],[Date]])</f>
        <v>9</v>
      </c>
      <c r="D82">
        <f>YEAR(Sheet_1[[#This Row],[Date]])</f>
        <v>2021</v>
      </c>
      <c r="E82" t="str">
        <f t="shared" si="2"/>
        <v>Summer</v>
      </c>
    </row>
    <row r="83" spans="1:5" x14ac:dyDescent="0.2">
      <c r="A83" s="1">
        <v>44470</v>
      </c>
      <c r="B83">
        <v>128011</v>
      </c>
      <c r="C83">
        <f>MONTH(Sheet_1[[#This Row],[Date]])</f>
        <v>10</v>
      </c>
      <c r="D83">
        <f>YEAR(Sheet_1[[#This Row],[Date]])</f>
        <v>2021</v>
      </c>
      <c r="E83" t="str">
        <f t="shared" si="2"/>
        <v>Winter</v>
      </c>
    </row>
    <row r="84" spans="1:5" x14ac:dyDescent="0.2">
      <c r="A84" s="1">
        <v>44501</v>
      </c>
      <c r="B84">
        <v>100437</v>
      </c>
      <c r="C84">
        <f>MONTH(Sheet_1[[#This Row],[Date]])</f>
        <v>11</v>
      </c>
      <c r="D84">
        <f>YEAR(Sheet_1[[#This Row],[Date]])</f>
        <v>2021</v>
      </c>
      <c r="E84" t="str">
        <f t="shared" si="2"/>
        <v>Winter</v>
      </c>
    </row>
    <row r="85" spans="1:5" x14ac:dyDescent="0.2">
      <c r="A85" s="1">
        <v>44531</v>
      </c>
      <c r="B85">
        <v>121243</v>
      </c>
      <c r="C85">
        <f>MONTH(Sheet_1[[#This Row],[Date]])</f>
        <v>12</v>
      </c>
      <c r="D85">
        <f>YEAR(Sheet_1[[#This Row],[Date]])</f>
        <v>2021</v>
      </c>
      <c r="E85" t="str">
        <f t="shared" si="2"/>
        <v>Winter</v>
      </c>
    </row>
    <row r="86" spans="1:5" x14ac:dyDescent="0.2">
      <c r="A86" s="1">
        <v>44562</v>
      </c>
      <c r="B86">
        <v>119595</v>
      </c>
      <c r="C86">
        <f>MONTH(Sheet_1[[#This Row],[Date]])</f>
        <v>1</v>
      </c>
      <c r="D86">
        <f>YEAR(Sheet_1[[#This Row],[Date]])</f>
        <v>2022</v>
      </c>
      <c r="E86" t="str">
        <f t="shared" si="2"/>
        <v>Winter</v>
      </c>
    </row>
    <row r="87" spans="1:5" x14ac:dyDescent="0.2">
      <c r="A87" s="1">
        <v>44593</v>
      </c>
      <c r="B87">
        <v>99136</v>
      </c>
      <c r="C87">
        <f>MONTH(Sheet_1[[#This Row],[Date]])</f>
        <v>2</v>
      </c>
      <c r="D87">
        <f>YEAR(Sheet_1[[#This Row],[Date]])</f>
        <v>2022</v>
      </c>
      <c r="E87" t="str">
        <f t="shared" si="2"/>
        <v>Winter</v>
      </c>
    </row>
    <row r="88" spans="1:5" x14ac:dyDescent="0.2">
      <c r="A88" s="1">
        <v>44621</v>
      </c>
      <c r="B88">
        <v>135770</v>
      </c>
      <c r="C88">
        <f>MONTH(Sheet_1[[#This Row],[Date]])</f>
        <v>3</v>
      </c>
      <c r="D88">
        <f>YEAR(Sheet_1[[#This Row],[Date]])</f>
        <v>2022</v>
      </c>
      <c r="E88" t="str">
        <f t="shared" si="2"/>
        <v>Winter</v>
      </c>
    </row>
    <row r="89" spans="1:5" x14ac:dyDescent="0.2">
      <c r="A89" s="1">
        <v>44652</v>
      </c>
      <c r="B89">
        <v>177742</v>
      </c>
      <c r="C89">
        <f>MONTH(Sheet_1[[#This Row],[Date]])</f>
        <v>4</v>
      </c>
      <c r="D89">
        <f>YEAR(Sheet_1[[#This Row],[Date]])</f>
        <v>2022</v>
      </c>
      <c r="E89" t="str">
        <f t="shared" si="2"/>
        <v>Winter</v>
      </c>
    </row>
    <row r="90" spans="1:5" x14ac:dyDescent="0.2">
      <c r="A90" s="1">
        <v>44682</v>
      </c>
      <c r="B90">
        <v>191496</v>
      </c>
      <c r="C90">
        <f>MONTH(Sheet_1[[#This Row],[Date]])</f>
        <v>5</v>
      </c>
      <c r="D90">
        <f>YEAR(Sheet_1[[#This Row],[Date]])</f>
        <v>2022</v>
      </c>
      <c r="E90" t="str">
        <f t="shared" si="2"/>
        <v>Summer</v>
      </c>
    </row>
    <row r="91" spans="1:5" x14ac:dyDescent="0.2">
      <c r="A91" s="1">
        <v>44713</v>
      </c>
      <c r="B91">
        <v>189145</v>
      </c>
      <c r="C91">
        <f>MONTH(Sheet_1[[#This Row],[Date]])</f>
        <v>6</v>
      </c>
      <c r="D91">
        <f>YEAR(Sheet_1[[#This Row],[Date]])</f>
        <v>2022</v>
      </c>
      <c r="E91" t="str">
        <f t="shared" si="2"/>
        <v>Summer</v>
      </c>
    </row>
    <row r="92" spans="1:5" x14ac:dyDescent="0.2">
      <c r="A92" s="1">
        <v>44743</v>
      </c>
      <c r="B92">
        <v>208917</v>
      </c>
      <c r="C92">
        <f>MONTH(Sheet_1[[#This Row],[Date]])</f>
        <v>7</v>
      </c>
      <c r="D92">
        <f>YEAR(Sheet_1[[#This Row],[Date]])</f>
        <v>2022</v>
      </c>
      <c r="E92" t="str">
        <f t="shared" si="2"/>
        <v>Summer</v>
      </c>
    </row>
    <row r="93" spans="1:5" x14ac:dyDescent="0.2">
      <c r="A93" s="1">
        <v>44774</v>
      </c>
      <c r="B93">
        <v>239505</v>
      </c>
      <c r="C93">
        <f>MONTH(Sheet_1[[#This Row],[Date]])</f>
        <v>8</v>
      </c>
      <c r="D93">
        <f>YEAR(Sheet_1[[#This Row],[Date]])</f>
        <v>2022</v>
      </c>
      <c r="E93" t="str">
        <f t="shared" si="2"/>
        <v>Summer</v>
      </c>
    </row>
    <row r="94" spans="1:5" x14ac:dyDescent="0.2">
      <c r="A94" s="1">
        <v>44805</v>
      </c>
      <c r="B94">
        <v>204168</v>
      </c>
      <c r="C94">
        <f>MONTH(Sheet_1[[#This Row],[Date]])</f>
        <v>9</v>
      </c>
      <c r="D94">
        <f>YEAR(Sheet_1[[#This Row],[Date]])</f>
        <v>2022</v>
      </c>
      <c r="E94" t="str">
        <f t="shared" si="2"/>
        <v>Summer</v>
      </c>
    </row>
    <row r="95" spans="1:5" x14ac:dyDescent="0.2">
      <c r="A95" s="1">
        <v>44835</v>
      </c>
      <c r="B95">
        <v>200089</v>
      </c>
      <c r="C95">
        <f>MONTH(Sheet_1[[#This Row],[Date]])</f>
        <v>10</v>
      </c>
      <c r="D95">
        <f>YEAR(Sheet_1[[#This Row],[Date]])</f>
        <v>2022</v>
      </c>
      <c r="E95" t="str">
        <f t="shared" si="2"/>
        <v>Winter</v>
      </c>
    </row>
    <row r="96" spans="1:5" x14ac:dyDescent="0.2">
      <c r="A96" s="1">
        <v>44866</v>
      </c>
      <c r="B96">
        <v>185729</v>
      </c>
      <c r="C96">
        <f>MONTH(Sheet_1[[#This Row],[Date]])</f>
        <v>11</v>
      </c>
      <c r="D96">
        <f>YEAR(Sheet_1[[#This Row],[Date]])</f>
        <v>2022</v>
      </c>
      <c r="E96" t="str">
        <f t="shared" si="2"/>
        <v>Winter</v>
      </c>
    </row>
    <row r="97" spans="1:5" x14ac:dyDescent="0.2">
      <c r="A97" s="1">
        <v>44896</v>
      </c>
      <c r="B97">
        <v>197078</v>
      </c>
      <c r="C97">
        <f>MONTH(Sheet_1[[#This Row],[Date]])</f>
        <v>12</v>
      </c>
      <c r="D97">
        <f>YEAR(Sheet_1[[#This Row],[Date]])</f>
        <v>2022</v>
      </c>
      <c r="E97" t="str">
        <f t="shared" si="2"/>
        <v>Winter</v>
      </c>
    </row>
    <row r="98" spans="1:5" x14ac:dyDescent="0.2">
      <c r="A98" s="1">
        <v>44927</v>
      </c>
      <c r="B98">
        <v>202026</v>
      </c>
      <c r="C98">
        <f>MONTH(Sheet_1[[#This Row],[Date]])</f>
        <v>1</v>
      </c>
      <c r="D98">
        <f>YEAR(Sheet_1[[#This Row],[Date]])</f>
        <v>2023</v>
      </c>
      <c r="E98" t="str">
        <f t="shared" ref="E98:E133" si="3">IF(AND(C98&gt;=5,C98&lt;=9),"Summer","Winter")</f>
        <v>Winter</v>
      </c>
    </row>
    <row r="99" spans="1:5" x14ac:dyDescent="0.2">
      <c r="A99" s="1">
        <v>44958</v>
      </c>
      <c r="B99">
        <v>166104</v>
      </c>
      <c r="C99">
        <f>MONTH(Sheet_1[[#This Row],[Date]])</f>
        <v>2</v>
      </c>
      <c r="D99">
        <f>YEAR(Sheet_1[[#This Row],[Date]])</f>
        <v>2023</v>
      </c>
      <c r="E99" t="str">
        <f t="shared" si="3"/>
        <v>Winter</v>
      </c>
    </row>
    <row r="100" spans="1:5" x14ac:dyDescent="0.2">
      <c r="A100" s="1">
        <v>44986</v>
      </c>
      <c r="B100">
        <v>194028</v>
      </c>
      <c r="C100">
        <f>MONTH(Sheet_1[[#This Row],[Date]])</f>
        <v>3</v>
      </c>
      <c r="D100">
        <f>YEAR(Sheet_1[[#This Row],[Date]])</f>
        <v>2023</v>
      </c>
      <c r="E100" t="str">
        <f t="shared" si="3"/>
        <v>Winter</v>
      </c>
    </row>
    <row r="101" spans="1:5" x14ac:dyDescent="0.2">
      <c r="A101" s="1">
        <v>45017</v>
      </c>
      <c r="B101">
        <v>245228</v>
      </c>
      <c r="C101">
        <f>MONTH(Sheet_1[[#This Row],[Date]])</f>
        <v>4</v>
      </c>
      <c r="D101">
        <f>YEAR(Sheet_1[[#This Row],[Date]])</f>
        <v>2023</v>
      </c>
      <c r="E101" t="str">
        <f t="shared" si="3"/>
        <v>Winter</v>
      </c>
    </row>
    <row r="102" spans="1:5" x14ac:dyDescent="0.2">
      <c r="A102" s="1">
        <v>45047</v>
      </c>
      <c r="B102">
        <v>239772</v>
      </c>
      <c r="C102">
        <f>MONTH(Sheet_1[[#This Row],[Date]])</f>
        <v>5</v>
      </c>
      <c r="D102">
        <f>YEAR(Sheet_1[[#This Row],[Date]])</f>
        <v>2023</v>
      </c>
      <c r="E102" t="str">
        <f t="shared" si="3"/>
        <v>Summer</v>
      </c>
    </row>
    <row r="103" spans="1:5" x14ac:dyDescent="0.2">
      <c r="A103" s="1">
        <v>45078</v>
      </c>
      <c r="B103">
        <v>270259</v>
      </c>
      <c r="C103">
        <f>MONTH(Sheet_1[[#This Row],[Date]])</f>
        <v>6</v>
      </c>
      <c r="D103">
        <f>YEAR(Sheet_1[[#This Row],[Date]])</f>
        <v>2023</v>
      </c>
      <c r="E103" t="str">
        <f t="shared" si="3"/>
        <v>Summer</v>
      </c>
    </row>
    <row r="104" spans="1:5" x14ac:dyDescent="0.2">
      <c r="A104" s="1">
        <v>45108</v>
      </c>
      <c r="B104">
        <v>307337</v>
      </c>
      <c r="C104">
        <f>MONTH(Sheet_1[[#This Row],[Date]])</f>
        <v>7</v>
      </c>
      <c r="D104">
        <f>YEAR(Sheet_1[[#This Row],[Date]])</f>
        <v>2023</v>
      </c>
      <c r="E104" t="str">
        <f t="shared" si="3"/>
        <v>Summer</v>
      </c>
    </row>
    <row r="105" spans="1:5" x14ac:dyDescent="0.2">
      <c r="A105" s="1">
        <v>45139</v>
      </c>
      <c r="B105">
        <v>334121</v>
      </c>
      <c r="C105">
        <f>MONTH(Sheet_1[[#This Row],[Date]])</f>
        <v>8</v>
      </c>
      <c r="D105">
        <f>YEAR(Sheet_1[[#This Row],[Date]])</f>
        <v>2023</v>
      </c>
      <c r="E105" t="str">
        <f t="shared" si="3"/>
        <v>Summer</v>
      </c>
    </row>
    <row r="106" spans="1:5" x14ac:dyDescent="0.2">
      <c r="A106" s="1">
        <v>45170</v>
      </c>
      <c r="B106">
        <v>292664</v>
      </c>
      <c r="C106">
        <f>MONTH(Sheet_1[[#This Row],[Date]])</f>
        <v>9</v>
      </c>
      <c r="D106">
        <f>YEAR(Sheet_1[[#This Row],[Date]])</f>
        <v>2023</v>
      </c>
      <c r="E106" t="str">
        <f t="shared" si="3"/>
        <v>Summer</v>
      </c>
    </row>
    <row r="107" spans="1:5" x14ac:dyDescent="0.2">
      <c r="A107" s="1">
        <v>45200</v>
      </c>
      <c r="B107">
        <v>283769</v>
      </c>
      <c r="C107">
        <f>MONTH(Sheet_1[[#This Row],[Date]])</f>
        <v>10</v>
      </c>
      <c r="D107">
        <f>YEAR(Sheet_1[[#This Row],[Date]])</f>
        <v>2023</v>
      </c>
      <c r="E107" t="str">
        <f t="shared" si="3"/>
        <v>Winter</v>
      </c>
    </row>
    <row r="108" spans="1:5" x14ac:dyDescent="0.2">
      <c r="A108" s="1">
        <v>45231</v>
      </c>
      <c r="B108">
        <v>304946</v>
      </c>
      <c r="C108">
        <f>MONTH(Sheet_1[[#This Row],[Date]])</f>
        <v>11</v>
      </c>
      <c r="D108">
        <f>YEAR(Sheet_1[[#This Row],[Date]])</f>
        <v>2023</v>
      </c>
      <c r="E108" t="str">
        <f t="shared" si="3"/>
        <v>Winter</v>
      </c>
    </row>
    <row r="109" spans="1:5" x14ac:dyDescent="0.2">
      <c r="A109" s="1">
        <v>45261</v>
      </c>
      <c r="B109">
        <v>326957</v>
      </c>
      <c r="C109">
        <f>MONTH(Sheet_1[[#This Row],[Date]])</f>
        <v>12</v>
      </c>
      <c r="D109">
        <f>YEAR(Sheet_1[[#This Row],[Date]])</f>
        <v>2023</v>
      </c>
      <c r="E109" t="str">
        <f t="shared" si="3"/>
        <v>Winter</v>
      </c>
    </row>
    <row r="110" spans="1:5" x14ac:dyDescent="0.2">
      <c r="A110" s="1">
        <v>45292</v>
      </c>
      <c r="B110">
        <v>322881</v>
      </c>
      <c r="C110">
        <f>MONTH(Sheet_1[[#This Row],[Date]])</f>
        <v>1</v>
      </c>
      <c r="D110">
        <f>YEAR(Sheet_1[[#This Row],[Date]])</f>
        <v>2024</v>
      </c>
      <c r="E110" t="str">
        <f t="shared" si="3"/>
        <v>Winter</v>
      </c>
    </row>
    <row r="111" spans="1:5" x14ac:dyDescent="0.2">
      <c r="A111" s="1">
        <v>45323</v>
      </c>
      <c r="B111">
        <v>283767</v>
      </c>
      <c r="C111">
        <f>MONTH(Sheet_1[[#This Row],[Date]])</f>
        <v>2</v>
      </c>
      <c r="D111">
        <f>YEAR(Sheet_1[[#This Row],[Date]])</f>
        <v>2024</v>
      </c>
      <c r="E111" t="str">
        <f t="shared" si="3"/>
        <v>Winter</v>
      </c>
    </row>
    <row r="112" spans="1:5" x14ac:dyDescent="0.2">
      <c r="A112" s="1">
        <v>45352</v>
      </c>
      <c r="B112">
        <v>353007</v>
      </c>
      <c r="C112">
        <f>MONTH(Sheet_1[[#This Row],[Date]])</f>
        <v>3</v>
      </c>
      <c r="D112">
        <f>YEAR(Sheet_1[[#This Row],[Date]])</f>
        <v>2024</v>
      </c>
      <c r="E112" t="str">
        <f t="shared" si="3"/>
        <v>Winter</v>
      </c>
    </row>
    <row r="113" spans="1:5" x14ac:dyDescent="0.2">
      <c r="A113" s="1">
        <v>45383</v>
      </c>
      <c r="B113">
        <v>398996</v>
      </c>
      <c r="C113">
        <f>MONTH(Sheet_1[[#This Row],[Date]])</f>
        <v>4</v>
      </c>
      <c r="D113">
        <f>YEAR(Sheet_1[[#This Row],[Date]])</f>
        <v>2024</v>
      </c>
      <c r="E113" t="str">
        <f t="shared" si="3"/>
        <v>Winter</v>
      </c>
    </row>
    <row r="114" spans="1:5" x14ac:dyDescent="0.2">
      <c r="A114" s="1">
        <v>45413</v>
      </c>
      <c r="B114">
        <v>413799</v>
      </c>
      <c r="C114">
        <f>MONTH(Sheet_1[[#This Row],[Date]])</f>
        <v>5</v>
      </c>
      <c r="D114">
        <f>YEAR(Sheet_1[[#This Row],[Date]])</f>
        <v>2024</v>
      </c>
      <c r="E114" t="str">
        <f t="shared" si="3"/>
        <v>Summer</v>
      </c>
    </row>
    <row r="115" spans="1:5" x14ac:dyDescent="0.2">
      <c r="A115" s="1">
        <v>45444</v>
      </c>
      <c r="B115">
        <v>419870</v>
      </c>
      <c r="C115">
        <f>MONTH(Sheet_1[[#This Row],[Date]])</f>
        <v>6</v>
      </c>
      <c r="D115">
        <f>YEAR(Sheet_1[[#This Row],[Date]])</f>
        <v>2024</v>
      </c>
      <c r="E115" t="str">
        <f t="shared" si="3"/>
        <v>Summer</v>
      </c>
    </row>
    <row r="116" spans="1:5" x14ac:dyDescent="0.2">
      <c r="A116" s="1">
        <v>45474</v>
      </c>
      <c r="B116">
        <v>431222</v>
      </c>
      <c r="C116">
        <f>MONTH(Sheet_1[[#This Row],[Date]])</f>
        <v>7</v>
      </c>
      <c r="D116">
        <f>YEAR(Sheet_1[[#This Row],[Date]])</f>
        <v>2024</v>
      </c>
      <c r="E116" t="str">
        <f t="shared" si="3"/>
        <v>Summer</v>
      </c>
    </row>
    <row r="117" spans="1:5" x14ac:dyDescent="0.2">
      <c r="A117" s="1">
        <v>45505</v>
      </c>
      <c r="B117">
        <v>450147</v>
      </c>
      <c r="C117">
        <f>MONTH(Sheet_1[[#This Row],[Date]])</f>
        <v>8</v>
      </c>
      <c r="D117">
        <f>YEAR(Sheet_1[[#This Row],[Date]])</f>
        <v>2024</v>
      </c>
      <c r="E117" t="str">
        <f t="shared" si="3"/>
        <v>Summer</v>
      </c>
    </row>
    <row r="118" spans="1:5" x14ac:dyDescent="0.2">
      <c r="A118" s="1">
        <v>45536</v>
      </c>
      <c r="B118">
        <v>427774</v>
      </c>
      <c r="C118">
        <f>MONTH(Sheet_1[[#This Row],[Date]])</f>
        <v>9</v>
      </c>
      <c r="D118">
        <f>YEAR(Sheet_1[[#This Row],[Date]])</f>
        <v>2024</v>
      </c>
      <c r="E118" t="str">
        <f t="shared" si="3"/>
        <v>Summer</v>
      </c>
    </row>
    <row r="119" spans="1:5" x14ac:dyDescent="0.2">
      <c r="A119" s="1">
        <v>45566</v>
      </c>
      <c r="B119">
        <v>381716</v>
      </c>
      <c r="C119">
        <f>MONTH(Sheet_1[[#This Row],[Date]])</f>
        <v>10</v>
      </c>
      <c r="D119">
        <f>YEAR(Sheet_1[[#This Row],[Date]])</f>
        <v>2024</v>
      </c>
      <c r="E119" t="str">
        <f t="shared" si="3"/>
        <v>Winter</v>
      </c>
    </row>
    <row r="120" spans="1:5" x14ac:dyDescent="0.2">
      <c r="A120" s="1">
        <v>45597</v>
      </c>
      <c r="B120">
        <v>326786</v>
      </c>
      <c r="C120">
        <f>MONTH(Sheet_1[[#This Row],[Date]])</f>
        <v>11</v>
      </c>
      <c r="D120">
        <f>YEAR(Sheet_1[[#This Row],[Date]])</f>
        <v>2024</v>
      </c>
      <c r="E120" t="str">
        <f t="shared" si="3"/>
        <v>Winter</v>
      </c>
    </row>
    <row r="121" spans="1:5" x14ac:dyDescent="0.2">
      <c r="A121" s="1">
        <v>45627</v>
      </c>
      <c r="B121">
        <v>327063</v>
      </c>
      <c r="C121">
        <f>MONTH(Sheet_1[[#This Row],[Date]])</f>
        <v>12</v>
      </c>
      <c r="D121">
        <f>YEAR(Sheet_1[[#This Row],[Date]])</f>
        <v>2024</v>
      </c>
      <c r="E121" t="str">
        <f t="shared" si="3"/>
        <v>Winter</v>
      </c>
    </row>
    <row r="122" spans="1:5" x14ac:dyDescent="0.2">
      <c r="A122" s="1">
        <v>45658</v>
      </c>
      <c r="B122">
        <v>326436</v>
      </c>
      <c r="C122">
        <f>MONTH(Sheet_1[[#This Row],[Date]])</f>
        <v>1</v>
      </c>
      <c r="D122">
        <f>YEAR(Sheet_1[[#This Row],[Date]])</f>
        <v>2025</v>
      </c>
      <c r="E122" t="str">
        <f t="shared" si="3"/>
        <v>Winter</v>
      </c>
    </row>
    <row r="123" spans="1:5" x14ac:dyDescent="0.2">
      <c r="A123" s="1">
        <v>45689</v>
      </c>
      <c r="B123">
        <v>291655</v>
      </c>
      <c r="C123">
        <f>MONTH(Sheet_1[[#This Row],[Date]])</f>
        <v>2</v>
      </c>
      <c r="D123">
        <f>YEAR(Sheet_1[[#This Row],[Date]])</f>
        <v>2025</v>
      </c>
      <c r="E123" t="str">
        <f t="shared" si="3"/>
        <v>Winter</v>
      </c>
    </row>
    <row r="124" spans="1:5" x14ac:dyDescent="0.2">
      <c r="A124" s="1">
        <v>45717</v>
      </c>
      <c r="B124">
        <v>345363</v>
      </c>
      <c r="C124">
        <f>MONTH(Sheet_1[[#This Row],[Date]])</f>
        <v>3</v>
      </c>
      <c r="D124">
        <f>YEAR(Sheet_1[[#This Row],[Date]])</f>
        <v>2025</v>
      </c>
      <c r="E124" t="str">
        <f t="shared" si="3"/>
        <v>Winter</v>
      </c>
    </row>
    <row r="125" spans="1:5" x14ac:dyDescent="0.2">
      <c r="A125" s="1">
        <v>45748</v>
      </c>
      <c r="B125">
        <v>387874</v>
      </c>
      <c r="C125">
        <f>MONTH(Sheet_1[[#This Row],[Date]])</f>
        <v>4</v>
      </c>
      <c r="D125">
        <f>YEAR(Sheet_1[[#This Row],[Date]])</f>
        <v>2025</v>
      </c>
      <c r="E125" t="str">
        <f t="shared" si="3"/>
        <v>Winter</v>
      </c>
    </row>
    <row r="126" spans="1:5" x14ac:dyDescent="0.2">
      <c r="A126" s="1">
        <v>45778</v>
      </c>
      <c r="B126">
        <v>408868</v>
      </c>
      <c r="C126">
        <f>MONTH(Sheet_1[[#This Row],[Date]])</f>
        <v>5</v>
      </c>
      <c r="D126">
        <f>YEAR(Sheet_1[[#This Row],[Date]])</f>
        <v>2025</v>
      </c>
      <c r="E126" t="str">
        <f t="shared" si="3"/>
        <v>Summer</v>
      </c>
    </row>
    <row r="127" spans="1:5" x14ac:dyDescent="0.2">
      <c r="A127" s="1">
        <v>45809</v>
      </c>
      <c r="B127">
        <v>409829</v>
      </c>
      <c r="C127">
        <f>MONTH(Sheet_1[[#This Row],[Date]])</f>
        <v>6</v>
      </c>
      <c r="D127">
        <f>YEAR(Sheet_1[[#This Row],[Date]])</f>
        <v>2025</v>
      </c>
      <c r="E127" t="str">
        <f t="shared" si="3"/>
        <v>Summer</v>
      </c>
    </row>
    <row r="128" spans="1:5" x14ac:dyDescent="0.2">
      <c r="A128" s="1">
        <v>45839</v>
      </c>
      <c r="B128">
        <v>423004</v>
      </c>
      <c r="C128">
        <f>MONTH(Sheet_1[[#This Row],[Date]])</f>
        <v>7</v>
      </c>
      <c r="D128">
        <f>YEAR(Sheet_1[[#This Row],[Date]])</f>
        <v>2025</v>
      </c>
      <c r="E128" t="str">
        <f t="shared" si="3"/>
        <v>Summer</v>
      </c>
    </row>
    <row r="129" spans="1:5" x14ac:dyDescent="0.2">
      <c r="A129" s="1">
        <v>45870</v>
      </c>
      <c r="B129">
        <v>463575</v>
      </c>
      <c r="C129">
        <f>MONTH(Sheet_1[[#This Row],[Date]])</f>
        <v>8</v>
      </c>
      <c r="D129">
        <f>YEAR(Sheet_1[[#This Row],[Date]])</f>
        <v>2025</v>
      </c>
      <c r="E129" t="str">
        <f t="shared" si="3"/>
        <v>Summer</v>
      </c>
    </row>
    <row r="130" spans="1:5" x14ac:dyDescent="0.2">
      <c r="A130" s="1">
        <v>45901</v>
      </c>
      <c r="B130">
        <v>411280</v>
      </c>
      <c r="C130">
        <f>MONTH(Sheet_1[[#This Row],[Date]])</f>
        <v>9</v>
      </c>
      <c r="D130">
        <f>YEAR(Sheet_1[[#This Row],[Date]])</f>
        <v>2025</v>
      </c>
      <c r="E130" t="str">
        <f t="shared" si="3"/>
        <v>Summer</v>
      </c>
    </row>
    <row r="131" spans="1:5" x14ac:dyDescent="0.2">
      <c r="A131" s="1">
        <v>45931</v>
      </c>
      <c r="C131">
        <f>MONTH(Sheet_1[[#This Row],[Date]])</f>
        <v>10</v>
      </c>
      <c r="D131">
        <f>YEAR(Sheet_1[[#This Row],[Date]])</f>
        <v>2025</v>
      </c>
      <c r="E131" t="str">
        <f t="shared" si="3"/>
        <v>Winter</v>
      </c>
    </row>
    <row r="132" spans="1:5" x14ac:dyDescent="0.2">
      <c r="A132" s="1">
        <v>45962</v>
      </c>
      <c r="C132">
        <f>MONTH(Sheet_1[[#This Row],[Date]])</f>
        <v>11</v>
      </c>
      <c r="D132">
        <f>YEAR(Sheet_1[[#This Row],[Date]])</f>
        <v>2025</v>
      </c>
      <c r="E132" t="str">
        <f t="shared" si="3"/>
        <v>Winter</v>
      </c>
    </row>
    <row r="133" spans="1:5" x14ac:dyDescent="0.2">
      <c r="A133" s="1">
        <v>45992</v>
      </c>
      <c r="C133">
        <f>MONTH(Sheet_1[[#This Row],[Date]])</f>
        <v>12</v>
      </c>
      <c r="D133">
        <f>YEAR(Sheet_1[[#This Row],[Date]])</f>
        <v>2025</v>
      </c>
      <c r="E133" t="str">
        <f t="shared" si="3"/>
        <v>Winter</v>
      </c>
    </row>
  </sheetData>
  <mergeCells count="1">
    <mergeCell ref="K3:L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DD8A-2A89-FC42-B069-6676EDA6F74C}">
  <dimension ref="A3:O35"/>
  <sheetViews>
    <sheetView topLeftCell="B10" zoomScale="90" zoomScaleNormal="163" workbookViewId="0">
      <selection activeCell="F35" sqref="F35"/>
    </sheetView>
  </sheetViews>
  <sheetFormatPr baseColWidth="10" defaultRowHeight="15" x14ac:dyDescent="0.2"/>
  <cols>
    <col min="1" max="1" width="26.1640625" customWidth="1"/>
    <col min="2" max="2" width="26.6640625" customWidth="1"/>
  </cols>
  <sheetData>
    <row r="3" spans="1:9" x14ac:dyDescent="0.2">
      <c r="A3" s="2" t="s">
        <v>9</v>
      </c>
      <c r="B3" t="s">
        <v>10</v>
      </c>
      <c r="C3" s="7" t="s">
        <v>22</v>
      </c>
      <c r="D3" s="10" t="s">
        <v>29</v>
      </c>
    </row>
    <row r="4" spans="1:9" x14ac:dyDescent="0.2">
      <c r="A4" s="3">
        <v>2015</v>
      </c>
      <c r="B4">
        <v>1150166</v>
      </c>
      <c r="C4" s="5"/>
      <c r="H4" s="3"/>
    </row>
    <row r="5" spans="1:9" x14ac:dyDescent="0.2">
      <c r="A5" s="3">
        <v>2016</v>
      </c>
      <c r="B5">
        <v>1264355</v>
      </c>
      <c r="C5" s="4">
        <f>(B5/B4)-1</f>
        <v>9.9280451691321048E-2</v>
      </c>
      <c r="H5" s="3"/>
    </row>
    <row r="6" spans="1:9" x14ac:dyDescent="0.2">
      <c r="A6" s="3">
        <v>2017</v>
      </c>
      <c r="B6">
        <v>1493846</v>
      </c>
      <c r="C6" s="4">
        <f t="shared" ref="C6:C13" si="0">(B6/B5)-1</f>
        <v>0.18150835801653797</v>
      </c>
      <c r="H6" s="3"/>
    </row>
    <row r="7" spans="1:9" x14ac:dyDescent="0.2">
      <c r="A7" s="3">
        <v>2018</v>
      </c>
      <c r="B7">
        <v>1572362</v>
      </c>
      <c r="C7" s="4">
        <f t="shared" si="0"/>
        <v>5.2559634661136334E-2</v>
      </c>
      <c r="H7" s="3"/>
    </row>
    <row r="8" spans="1:9" x14ac:dyDescent="0.2">
      <c r="A8" s="3">
        <v>2019</v>
      </c>
      <c r="B8">
        <v>1688299</v>
      </c>
      <c r="C8" s="4">
        <f t="shared" si="0"/>
        <v>7.3734292739203733E-2</v>
      </c>
      <c r="H8" s="3"/>
    </row>
    <row r="9" spans="1:9" x14ac:dyDescent="0.2">
      <c r="A9" s="6">
        <v>2020</v>
      </c>
      <c r="B9" s="9">
        <v>583539</v>
      </c>
      <c r="C9" s="4">
        <f t="shared" si="0"/>
        <v>-0.65436276394169512</v>
      </c>
      <c r="H9" s="3"/>
    </row>
    <row r="10" spans="1:9" x14ac:dyDescent="0.2">
      <c r="A10" s="3">
        <v>2021</v>
      </c>
      <c r="B10">
        <v>1184797</v>
      </c>
      <c r="C10" s="4">
        <f t="shared" si="0"/>
        <v>1.0303647228377195</v>
      </c>
      <c r="H10" s="3"/>
    </row>
    <row r="11" spans="1:9" x14ac:dyDescent="0.2">
      <c r="A11" s="3">
        <v>2022</v>
      </c>
      <c r="B11">
        <v>2148370</v>
      </c>
      <c r="C11" s="4">
        <f t="shared" si="0"/>
        <v>0.81328109372322843</v>
      </c>
      <c r="H11" s="3"/>
    </row>
    <row r="12" spans="1:9" x14ac:dyDescent="0.2">
      <c r="A12" s="3">
        <v>2023</v>
      </c>
      <c r="B12">
        <v>3167211</v>
      </c>
      <c r="C12" s="4">
        <f t="shared" si="0"/>
        <v>0.47423907427491541</v>
      </c>
      <c r="H12" s="3"/>
    </row>
    <row r="13" spans="1:9" x14ac:dyDescent="0.2">
      <c r="A13" s="3">
        <v>2024</v>
      </c>
      <c r="B13">
        <v>4537028</v>
      </c>
      <c r="C13" s="4">
        <f t="shared" si="0"/>
        <v>0.43249944509538518</v>
      </c>
      <c r="D13">
        <v>4537028</v>
      </c>
      <c r="H13" s="3"/>
    </row>
    <row r="14" spans="1:9" x14ac:dyDescent="0.2">
      <c r="A14" s="3">
        <v>2025</v>
      </c>
      <c r="B14" s="8"/>
      <c r="D14" s="8">
        <f>B13*1.15</f>
        <v>5217582.1999999993</v>
      </c>
      <c r="H14" s="3"/>
      <c r="I14" s="8"/>
    </row>
    <row r="15" spans="1:9" x14ac:dyDescent="0.2">
      <c r="A15" s="3">
        <v>2026</v>
      </c>
      <c r="B15" s="8"/>
      <c r="D15" s="8">
        <f>D14*1.1</f>
        <v>5739340.4199999999</v>
      </c>
      <c r="H15" s="3"/>
      <c r="I15" s="8"/>
    </row>
    <row r="21" spans="1:15" x14ac:dyDescent="0.2">
      <c r="A21" s="22" t="s">
        <v>14</v>
      </c>
      <c r="B21" s="23"/>
    </row>
    <row r="22" spans="1:15" x14ac:dyDescent="0.2">
      <c r="A22" s="14" t="s">
        <v>7</v>
      </c>
      <c r="B22" s="14" t="s">
        <v>8</v>
      </c>
      <c r="I22" s="3"/>
      <c r="N22" s="14" t="s">
        <v>3</v>
      </c>
      <c r="O22" s="14" t="s">
        <v>30</v>
      </c>
    </row>
    <row r="23" spans="1:15" x14ac:dyDescent="0.2">
      <c r="A23" s="15" t="s">
        <v>4</v>
      </c>
      <c r="B23" s="17">
        <f>(B13/B4)^(1/9)-1</f>
        <v>0.16472510657219219</v>
      </c>
      <c r="I23" s="3"/>
      <c r="J23" s="11"/>
      <c r="N23" s="15">
        <f>A5</f>
        <v>2016</v>
      </c>
      <c r="O23" s="18">
        <f>C5</f>
        <v>9.9280451691321048E-2</v>
      </c>
    </row>
    <row r="24" spans="1:15" x14ac:dyDescent="0.2">
      <c r="A24" s="15" t="s">
        <v>5</v>
      </c>
      <c r="B24" s="16">
        <f>(B8/B4)^(1/4)-1</f>
        <v>0.10070821929222995</v>
      </c>
      <c r="I24" s="3"/>
      <c r="J24" s="11"/>
      <c r="N24" s="15">
        <f t="shared" ref="N24:N30" si="1">A6</f>
        <v>2017</v>
      </c>
      <c r="O24" s="18">
        <f t="shared" ref="O24:O31" si="2">C6</f>
        <v>0.18150835801653797</v>
      </c>
    </row>
    <row r="25" spans="1:15" x14ac:dyDescent="0.2">
      <c r="A25" s="15" t="s">
        <v>6</v>
      </c>
      <c r="B25" s="16">
        <f>(B13/B10)^(1/3)-1</f>
        <v>0.5645009740924285</v>
      </c>
      <c r="I25" s="3"/>
      <c r="J25" s="11"/>
      <c r="N25" s="15">
        <f t="shared" si="1"/>
        <v>2018</v>
      </c>
      <c r="O25" s="18">
        <f t="shared" si="2"/>
        <v>5.2559634661136334E-2</v>
      </c>
    </row>
    <row r="26" spans="1:15" x14ac:dyDescent="0.2">
      <c r="A26" s="15" t="s">
        <v>23</v>
      </c>
      <c r="B26" s="16">
        <f>STDEV(C5:C13)</f>
        <v>0.48965009417026856</v>
      </c>
      <c r="H26" s="3"/>
      <c r="I26" s="3"/>
      <c r="J26" s="11"/>
      <c r="N26" s="15">
        <f t="shared" si="1"/>
        <v>2019</v>
      </c>
      <c r="O26" s="18">
        <f t="shared" si="2"/>
        <v>7.3734292739203733E-2</v>
      </c>
    </row>
    <row r="27" spans="1:15" x14ac:dyDescent="0.2">
      <c r="H27" s="3"/>
      <c r="I27" s="3"/>
      <c r="J27" s="11"/>
      <c r="N27" s="15">
        <f t="shared" si="1"/>
        <v>2020</v>
      </c>
      <c r="O27" s="18">
        <f t="shared" si="2"/>
        <v>-0.65436276394169512</v>
      </c>
    </row>
    <row r="28" spans="1:15" x14ac:dyDescent="0.2">
      <c r="H28" s="3"/>
      <c r="I28" s="3"/>
      <c r="J28" s="11"/>
      <c r="N28" s="15">
        <f t="shared" si="1"/>
        <v>2021</v>
      </c>
      <c r="O28" s="18">
        <f t="shared" si="2"/>
        <v>1.0303647228377195</v>
      </c>
    </row>
    <row r="29" spans="1:15" x14ac:dyDescent="0.2">
      <c r="H29" s="3"/>
      <c r="I29" s="3"/>
      <c r="J29" s="11"/>
      <c r="N29" s="15">
        <f t="shared" si="1"/>
        <v>2022</v>
      </c>
      <c r="O29" s="18">
        <f t="shared" si="2"/>
        <v>0.81328109372322843</v>
      </c>
    </row>
    <row r="30" spans="1:15" x14ac:dyDescent="0.2">
      <c r="A30" s="22" t="s">
        <v>24</v>
      </c>
      <c r="B30" s="23"/>
      <c r="H30" s="3"/>
      <c r="I30" s="3"/>
      <c r="J30" s="11"/>
      <c r="N30" s="15">
        <f t="shared" si="1"/>
        <v>2023</v>
      </c>
      <c r="O30" s="18">
        <f t="shared" si="2"/>
        <v>0.47423907427491541</v>
      </c>
    </row>
    <row r="31" spans="1:15" x14ac:dyDescent="0.2">
      <c r="A31" s="14" t="s">
        <v>7</v>
      </c>
      <c r="B31" s="14" t="s">
        <v>8</v>
      </c>
      <c r="H31" s="3"/>
      <c r="I31" s="3"/>
      <c r="J31" s="11"/>
      <c r="N31" s="15">
        <f>A13</f>
        <v>2024</v>
      </c>
      <c r="O31" s="18">
        <f t="shared" si="2"/>
        <v>0.43249944509538518</v>
      </c>
    </row>
    <row r="32" spans="1:15" x14ac:dyDescent="0.2">
      <c r="A32" s="15" t="s">
        <v>25</v>
      </c>
      <c r="B32" s="15">
        <v>1688299</v>
      </c>
      <c r="H32" s="3"/>
    </row>
    <row r="33" spans="1:8" x14ac:dyDescent="0.2">
      <c r="A33" s="15" t="s">
        <v>26</v>
      </c>
      <c r="B33" s="15">
        <v>2022</v>
      </c>
      <c r="H33" s="3"/>
    </row>
    <row r="34" spans="1:8" x14ac:dyDescent="0.2">
      <c r="A34" s="15" t="s">
        <v>27</v>
      </c>
      <c r="B34" s="15">
        <v>2</v>
      </c>
      <c r="H34" s="3"/>
    </row>
    <row r="35" spans="1:8" x14ac:dyDescent="0.2">
      <c r="A35" s="15" t="s">
        <v>28</v>
      </c>
      <c r="B35" s="19">
        <f>B13/B8</f>
        <v>2.6873367809848849</v>
      </c>
      <c r="H35" s="3"/>
    </row>
  </sheetData>
  <mergeCells count="2">
    <mergeCell ref="A21:B21"/>
    <mergeCell ref="A30:B30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4E4B-912C-C143-895D-9C83B9E53A99}">
  <dimension ref="A1:B12"/>
  <sheetViews>
    <sheetView workbookViewId="0">
      <selection activeCell="B24" sqref="B24"/>
    </sheetView>
  </sheetViews>
  <sheetFormatPr baseColWidth="10" defaultRowHeight="15" x14ac:dyDescent="0.2"/>
  <cols>
    <col min="1" max="1" width="16.33203125" bestFit="1" customWidth="1"/>
    <col min="2" max="2" width="18.1640625" bestFit="1" customWidth="1"/>
  </cols>
  <sheetData>
    <row r="1" spans="1:2" x14ac:dyDescent="0.2">
      <c r="A1" s="2" t="s">
        <v>3</v>
      </c>
      <c r="B1" s="3">
        <v>2024</v>
      </c>
    </row>
    <row r="3" spans="1:2" x14ac:dyDescent="0.2">
      <c r="A3" s="2" t="s">
        <v>17</v>
      </c>
      <c r="B3" t="s">
        <v>10</v>
      </c>
    </row>
    <row r="4" spans="1:2" x14ac:dyDescent="0.2">
      <c r="A4" s="3" t="s">
        <v>18</v>
      </c>
      <c r="B4">
        <v>2142812</v>
      </c>
    </row>
    <row r="5" spans="1:2" x14ac:dyDescent="0.2">
      <c r="A5" s="3" t="s">
        <v>19</v>
      </c>
      <c r="B5">
        <v>2394216</v>
      </c>
    </row>
    <row r="6" spans="1:2" x14ac:dyDescent="0.2">
      <c r="A6" s="3" t="s">
        <v>20</v>
      </c>
      <c r="B6">
        <v>4537028</v>
      </c>
    </row>
    <row r="10" spans="1:2" x14ac:dyDescent="0.2">
      <c r="A10" s="24" t="s">
        <v>35</v>
      </c>
      <c r="B10" s="24"/>
    </row>
    <row r="11" spans="1:2" x14ac:dyDescent="0.2">
      <c r="A11" s="14" t="s">
        <v>7</v>
      </c>
      <c r="B11" s="14" t="s">
        <v>8</v>
      </c>
    </row>
    <row r="12" spans="1:2" x14ac:dyDescent="0.2">
      <c r="A12" s="15" t="s">
        <v>21</v>
      </c>
      <c r="B12" s="19">
        <f>B4/B5</f>
        <v>0.89499527193870565</v>
      </c>
    </row>
  </sheetData>
  <mergeCells count="1">
    <mergeCell ref="A10:B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A4B7F1-4A1B-334F-9F1C-077896C301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Summary</vt:lpstr>
      <vt:lpstr>Traffic_Data</vt:lpstr>
      <vt:lpstr>Analysis</vt:lpstr>
      <vt:lpstr>Seasonality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MARIAM MENNANI</cp:lastModifiedBy>
  <dcterms:created xsi:type="dcterms:W3CDTF">2026-03-03T14:19:02Z</dcterms:created>
  <dcterms:modified xsi:type="dcterms:W3CDTF">2026-03-19T20:46:40Z</dcterms:modified>
</cp:coreProperties>
</file>